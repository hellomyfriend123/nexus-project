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10440" tabRatio="500"/>
  </bookViews>
  <sheets>
    <sheet name="1. Overview" sheetId="1" r:id="rId1"/>
    <sheet name="2. Backlog" sheetId="2" r:id="rId2"/>
    <sheet name="3. Epic Summary" sheetId="3" r:id="rId3"/>
    <sheet name="4. Sprint Plan" sheetId="4" r:id="rId4"/>
    <sheet name="5. Milestones" sheetId="5" r:id="rId5"/>
    <sheet name="6. Deferred" sheetId="6" r:id="rId6"/>
    <sheet name="7. Risks" sheetId="7" r:id="rId7"/>
    <sheet name="8. Team &amp; Process" sheetId="8" r:id="rId8"/>
  </sheets>
  <definedNames>
    <definedName name="_xlnm._FilterDatabase" localSheetId="1" hidden="1">'2. Backlog'!$A$1:$K$86</definedName>
    <definedName name="_xlnm._FilterDatabase" localSheetId="6" hidden="1">'7. Risks'!$A$4:$H$16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<sst xmlns="http://schemas.openxmlformats.org/spreadsheetml/2006/main" count="1471" uniqueCount="776">
  <si>
    <t>PROJECT NEXUS — PRODUCT COMPLETION PLAN (Release 1)</t>
  </si>
  <si>
    <t>Source: SRS Nexus E-Commerce &amp; Auction v1.0 (04/06/2026, HauNK) · Prepared by: Tuan Nghiem · Date: 22/09/2026</t>
  </si>
  <si>
    <t>A. CAPACITY MATH — WHY 6 MONTHS ISN'T ENOUGH</t>
  </si>
  <si>
    <t>Metric</t>
  </si>
  <si>
    <t>Value</t>
  </si>
  <si>
    <t>Unit</t>
  </si>
  <si>
    <t>Calculation / Notes</t>
  </si>
  <si>
    <t>Total SRS v1.0 scope (full)</t>
  </si>
  <si>
    <t>dev-day</t>
  </si>
  <si>
    <t>All of SRS sections 3, 4, 5 at production depth — EXCLUDES tech-stack training</t>
  </si>
  <si>
    <t xml:space="preserve">   • SRS features</t>
  </si>
  <si>
    <t>Sheet “2. Backlog” — total of the Estimate column, minus the 3 training tasks</t>
  </si>
  <si>
    <t xml:space="preserve">   • Tech-stack training (sprint S0)</t>
  </si>
  <si>
    <t>Sheet “2. Backlog” — F01.0a/b/c, not part of SRS scope</t>
  </si>
  <si>
    <t xml:space="preserve">   • Deferred to R1.1 / R2</t>
  </si>
  <si>
    <t>Sheet “6. Deferred” — each item has a reason</t>
  </si>
  <si>
    <t>Release 1 scope (SRS features + training)</t>
  </si>
  <si>
    <t>Actual scope the team must deliver over 17 sprints (S0–S16)</t>
  </si>
  <si>
    <t>Proposed team</t>
  </si>
  <si>
    <t>people</t>
  </si>
  <si>
    <t>1 PO/PM, 1 Tech Lead, 4 Backend, 1 Frontend, 1 QA (sheet 8)</t>
  </si>
  <si>
    <t>Effective dev capacity</t>
  </si>
  <si>
    <t>FTE</t>
  </si>
  <si>
    <t>Tech Lead 50% + 4 Backend + 1 Frontend. PO/PM and QA aren't counted in dev capacity</t>
  </si>
  <si>
    <t>Output per FTE per sprint</t>
  </si>
  <si>
    <t>10 working days x 80% (ceremonies, code review, support, bug fixes)</t>
  </si>
  <si>
    <t>Dev capacity per sprint</t>
  </si>
  <si>
    <t>5.5 FTE x 8 dev-day</t>
  </si>
  <si>
    <t>Sprints needed for R1 scope</t>
  </si>
  <si>
    <t>sprint</t>
  </si>
  <si>
    <t>Not counting the inception sprint or the hardening sprint</t>
  </si>
  <si>
    <t>If holding the 6-month target (10 effective sprints)</t>
  </si>
  <si>
    <t>Dev FTE NEEDED to finish R1 scope in 10 effective sprints (after subtracting Christmas/Tet + training)</t>
  </si>
  <si>
    <t>CONCLUSION</t>
  </si>
  <si>
    <t>B. THREE OPTIONS — DECISION NEEDED BEFORE 30/09/2026</t>
  </si>
  <si>
    <t>Option</t>
  </si>
  <si>
    <t>Team</t>
  </si>
  <si>
    <t>Go-live</t>
  </si>
  <si>
    <t>Duration</t>
  </si>
  <si>
    <t>Pros / Cons</t>
  </si>
  <si>
    <t>A. Hold the 6-month date - add headcount</t>
  </si>
  <si>
    <t>11 people (1 PM, 1 TL, 7 BE, 1 FE, 1 QA)</t>
  </si>
  <si>
    <t>16/04/2027</t>
  </si>
  <si>
    <t>6.6 months</t>
  </si>
  <si>
    <t>(+) Nearly hits the 6-month mark; keeps full scope
(-) Cost rises about 37%; onboarding 3 new devs into a greenfield project (Brooks' law); hiring must close before 30/09/2026; should hire people who already know Java/Spring Boot to avoid extending the training sprint
Scope: Full Must-scope (653 dev-day, including 44d tech-stack training)</t>
  </si>
  <si>
    <t>B. Keep the 8-person team - extend the timeline (RECOMMENDED)</t>
  </si>
  <si>
    <t>8 people (1 PM, 1 TL, 4 BE, 1 FE, 1 QA)</t>
  </si>
  <si>
    <t>12/06/2027</t>
  </si>
  <si>
    <t>8.4 months</t>
  </si>
  <si>
    <t>(+) Lowest cost; small, stable team, low communication overhead
(-) 2 months later than the original target
Scope: Full Must-scope (653 dev-day, including 44d tech-stack training)</t>
  </si>
  <si>
    <t>C. Hold the 6-month date - cut auction</t>
  </si>
  <si>
    <t>8 people</t>
  </si>
  <si>
    <t>30/04/2027</t>
  </si>
  <si>
    <t>7.0 months</t>
  </si>
  <si>
    <t>(+) Nearly hits the date, no added cost
(-) Loses the product's key differentiator; auction is the whole reason Project Nexus exists
Scope: E-commerce only (518 dev-day, including 44d tech-stack training). Auction moves to R2, Q4 2027</t>
  </si>
  <si>
    <t>C. KEY ASSUMPTIONS (if any of these is wrong, the plan must be redone)</t>
  </si>
  <si>
    <t>• ADR-002: use a MODULAR MONOLITH (bounded contexts + separate schemas + event bus) for 6 domains, with the Auction Service SPLIT OUT separately. 7 microservices with 5 devs is an anti-pattern; this assumption saves roughly 60 dev-day of platform and operational work.</t>
  </si>
  <si>
    <t>• Frontend has NO custom design: admin and seller portal use a ready-made template (Ant Design Pro / Refine), the buyer web uses Tailwind with a component library. The 101 dev-day frontend estimate is only sufficient at this level.</t>
  </si>
  <si>
    <t>• Only 1 payment gateway (Stripe) and 1 carrier (GHN) are integrated in R1. The adapter framework is ready to add more carriers later.</t>
  </si>
  <si>
    <t>• PostgreSQL Full-Text Search is sufficient to meet the &lt;= 800ms search SLA up to about 500,000 products. OpenSearch is deferred to R1.1.</t>
  </si>
  <si>
    <t>• SRS v1.1 (adding System Context, Architecture, Component diagrams and a promotions spec) is completed before S3 = 20/11/2026.</t>
  </si>
  <si>
    <t>• 1 dev-day is 1 EFFECTIVE working day (after subtracting 20% for ceremonies, support, review) — not 1 calendar day.</t>
  </si>
  <si>
    <t>• The actual dev buffer is only 3.8% (Track B) to 11.5% (Track A) — LOW versus the 20-25% standard for a greenfield project. As a result: the target go-live is 12/06/2027, and the externally COMMITTED go-live is 26/06/2027 (adding 1 contingency sprint).</t>
  </si>
  <si>
    <t>Feature ID</t>
  </si>
  <si>
    <t>Epic</t>
  </si>
  <si>
    <t>Epic Name</t>
  </si>
  <si>
    <t>Feature Name</t>
  </si>
  <si>
    <t>SRS ref</t>
  </si>
  <si>
    <t>Priority</t>
  </si>
  <si>
    <t>Estimate (dev-day)</t>
  </si>
  <si>
    <t>Track</t>
  </si>
  <si>
    <t>Sprint</t>
  </si>
  <si>
    <t>Dependencies</t>
  </si>
  <si>
    <t>Definition of Done</t>
  </si>
  <si>
    <t>F01.0a</t>
  </si>
  <si>
    <t>E01</t>
  </si>
  <si>
    <t>Platform Foundation</t>
  </si>
  <si>
    <t>Tech stack training - Backend: Java, Spring Boot (Tech Lead + Backend Track A)</t>
  </si>
  <si>
    <t>-</t>
  </si>
  <si>
    <t>Must</t>
  </si>
  <si>
    <t>A</t>
  </si>
  <si>
    <t>S0</t>
  </si>
  <si>
    <t>Complete the Java + Spring Boot training/hands-on course; build 1 sample CRUD service with unit tests and DB connectivity</t>
  </si>
  <si>
    <t>F01.0b</t>
  </si>
  <si>
    <t>Tech stack training - Backend: Java, Spring Boot (Backend Track B)</t>
  </si>
  <si>
    <t>B</t>
  </si>
  <si>
    <t>Complete the same training/hands-on course as Track A</t>
  </si>
  <si>
    <t>F01.0c</t>
  </si>
  <si>
    <t>Tech stack training - Frontend: ReactJS, HTML, CSS</t>
  </si>
  <si>
    <t>FE</t>
  </si>
  <si>
    <t>Build 1 sample page with components, state, API calls, responsive HTML/CSS</t>
  </si>
  <si>
    <t>F01.1</t>
  </si>
  <si>
    <t>Finalize tech stack + ADRs + repository structure</t>
  </si>
  <si>
    <t>4.1</t>
  </si>
  <si>
    <t>S1</t>
  </si>
  <si>
    <t>ADR-001..005 signed off by Tech Lead and PO</t>
  </si>
  <si>
    <t>F01.2</t>
  </si>
  <si>
    <t>Service/module template (clean architecture, DDD, health checks, config)</t>
  </si>
  <si>
    <t>Scaffold a new module in under 1 hour</t>
  </si>
  <si>
    <t>F01.5</t>
  </si>
  <si>
    <t>CI/CD: build, test, SAST, container scanning, rolling deploy</t>
  </si>
  <si>
    <t>5.7</t>
  </si>
  <si>
    <t>Commit to STAGING in under 15 minutes, zero downtime</t>
  </si>
  <si>
    <t>F01.3</t>
  </si>
  <si>
    <t>API Gateway: routing, rate limiting, JWT validation</t>
  </si>
  <si>
    <t>5.4</t>
  </si>
  <si>
    <t>S2</t>
  </si>
  <si>
    <t>Requests through the gateway carry a trace-id</t>
  </si>
  <si>
    <t>F01.4</t>
  </si>
  <si>
    <t>Event bus (Kafka) + schema registry + Outbox library</t>
  </si>
  <si>
    <t>2.8</t>
  </si>
  <si>
    <t>Publish/consume 1 real event, at-least-once with dedup</t>
  </si>
  <si>
    <t>F01.6</t>
  </si>
  <si>
    <t>DEV/STAGING environments on K8s + secret management</t>
  </si>
  <si>
    <t>4.3</t>
  </si>
  <si>
    <t>No secrets remain in source code</t>
  </si>
  <si>
    <t>F13.1</t>
  </si>
  <si>
    <t>E13</t>
  </si>
  <si>
    <t>Web Frontend (Buyer / Seller / Admin)</t>
  </si>
  <si>
    <t>Design system + component library + responsive framework</t>
  </si>
  <si>
    <t>S2–S3</t>
  </si>
  <si>
    <t>Storybook; 20 base components</t>
  </si>
  <si>
    <t>F01.7</t>
  </si>
  <si>
    <t>Observability: OpenTelemetry, Prometheus, Grafana, centralized logging</t>
  </si>
  <si>
    <t>5.5</t>
  </si>
  <si>
    <t>S3</t>
  </si>
  <si>
    <t>Trace spans gateway to service to DB; p95/p99 dashboard</t>
  </si>
  <si>
    <t>F01.8</t>
  </si>
  <si>
    <t>Shared library: idempotency, correlation-id, error contract, OpenAPI generation</t>
  </si>
  <si>
    <t>4.2</t>
  </si>
  <si>
    <t>OpenAPI spec generated from code and auto-published</t>
  </si>
  <si>
    <t>F02.1</t>
  </si>
  <si>
    <t>E02</t>
  </si>
  <si>
    <t>User Service - Identity &amp; Access</t>
  </si>
  <si>
    <t>User CRUD + validation + soft delete + audit log</t>
  </si>
  <si>
    <t>3.1.1</t>
  </si>
  <si>
    <t>8 APIs with audit logging who / when / which field</t>
  </si>
  <si>
    <t>F03.1</t>
  </si>
  <si>
    <t>E03</t>
  </si>
  <si>
    <t>Notification Service</t>
  </si>
  <si>
    <t>Event log consumer + storage + list/detail API</t>
  </si>
  <si>
    <t>3.2.1</t>
  </si>
  <si>
    <t>Every published event has a log record</t>
  </si>
  <si>
    <t>F03.2</t>
  </si>
  <si>
    <t>Email channel + template engine + provider integration</t>
  </si>
  <si>
    <t>3.2.3</t>
  </si>
  <si>
    <t>Can send 6 transactional templates</t>
  </si>
  <si>
    <t>F14.1</t>
  </si>
  <si>
    <t>E14</t>
  </si>
  <si>
    <t>Quality &amp; NFR Compliance</t>
  </si>
  <si>
    <t>Test automation framework + API contract tests</t>
  </si>
  <si>
    <t>5.6</t>
  </si>
  <si>
    <t>QA</t>
  </si>
  <si>
    <t>S3–S4</t>
  </si>
  <si>
    <t>Contract tests run in CI and block merges</t>
  </si>
  <si>
    <t>F02.3</t>
  </si>
  <si>
    <t>OAuth2/JWT authentication + refresh token + session timeout</t>
  </si>
  <si>
    <t>S4</t>
  </si>
  <si>
    <t>Login &lt;= 500ms; token expiry per configuration</t>
  </si>
  <si>
    <t>F02.4</t>
  </si>
  <si>
    <t>Account lockout after N failed attempts + password policy</t>
  </si>
  <si>
    <t>2.6</t>
  </si>
  <si>
    <t>Locks out after MAX_LOGIN_ATTEMPTS = 5</t>
  </si>
  <si>
    <t>F03.3</t>
  </si>
  <si>
    <t>Event-to-notification mapping rules</t>
  </si>
  <si>
    <t>Mapping table is configurable, not hardcoded</t>
  </si>
  <si>
    <t>F03.8</t>
  </si>
  <si>
    <t>Message broker health check + pause/resume + events</t>
  </si>
  <si>
    <t>3.2.2</t>
  </si>
  <si>
    <t>Broker down: core API still returns 200, notifications queue up</t>
  </si>
  <si>
    <t>F10.1</t>
  </si>
  <si>
    <t>E10</t>
  </si>
  <si>
    <t>Fulfillment - Inventory / Warehouse</t>
  </si>
  <si>
    <t>Inventory record by SKU x warehouse + derived available quantity</t>
  </si>
  <si>
    <t>3.6.1</t>
  </si>
  <si>
    <t>available = total - reserved - unavailable</t>
  </si>
  <si>
    <t>F13.2</t>
  </si>
  <si>
    <t>Auth screens: sign up, sign in, forgot password, profile</t>
  </si>
  <si>
    <t>Lighthouse accessibility &gt;= 90</t>
  </si>
  <si>
    <t>F02.5</t>
  </si>
  <si>
    <t>Forgot password / reset via email token</t>
  </si>
  <si>
    <t>S5</t>
  </si>
  <si>
    <t>F02.3, F03.2</t>
  </si>
  <si>
    <t>Single-use token, expires in 15 minutes</t>
  </si>
  <si>
    <t>F02.6</t>
  </si>
  <si>
    <t>Change password</t>
  </si>
  <si>
    <t>Blocks reuse of the previous password</t>
  </si>
  <si>
    <t>F02.7</t>
  </si>
  <si>
    <t>Publish 8 user domain events</t>
  </si>
  <si>
    <t>Events appear in the Event Log Service</t>
  </si>
  <si>
    <t>F04.1</t>
  </si>
  <si>
    <t>E04</t>
  </si>
  <si>
    <t>Catalog Service</t>
  </si>
  <si>
    <t>Product CRUD + status + images (up to 5) + audit</t>
  </si>
  <si>
    <t>3.3.1</t>
  </si>
  <si>
    <t>S5–S6</t>
  </si>
  <si>
    <t>DRAFT/ACTIVE/INACTIVE; blocks deletion once an order exists</t>
  </si>
  <si>
    <t>F10.2</t>
  </si>
  <si>
    <t>Stock reservation - atomic, prevents overselling</t>
  </si>
  <si>
    <t>No overselling with 200 concurrent reservations</t>
  </si>
  <si>
    <t>F10.4</t>
  </si>
  <si>
    <t>Inventory ledger (append-only, immutable)</t>
  </si>
  <si>
    <t>No UPDATE/DELETE on the ledger</t>
  </si>
  <si>
    <t>F13.3</t>
  </si>
  <si>
    <t>Buyer: homepage, category browsing, product list &amp; detail</t>
  </si>
  <si>
    <t>F04.1 (search uses a contract mock)</t>
  </si>
  <si>
    <t>LCP &lt;= 2.5s</t>
  </si>
  <si>
    <t>F04.2</t>
  </si>
  <si>
    <t>Category CRUD + hierarchy tree up to 3 levels</t>
  </si>
  <si>
    <t>3.3.2</t>
  </si>
  <si>
    <t>S6</t>
  </si>
  <si>
    <t>Blocks deleting a category that still has products</t>
  </si>
  <si>
    <t>F04.3</t>
  </si>
  <si>
    <t>Search + filter + sort + pagination (Postgres FTS)</t>
  </si>
  <si>
    <t>3.3.3</t>
  </si>
  <si>
    <t>S6–S7</t>
  </si>
  <si>
    <t>Search &lt;= 800ms with 100,000 products</t>
  </si>
  <si>
    <t>F04.5</t>
  </si>
  <si>
    <t>SKU / product variant model</t>
  </si>
  <si>
    <t>Inventory can reference SKUs</t>
  </si>
  <si>
    <t>F07.1</t>
  </si>
  <si>
    <t>E07</t>
  </si>
  <si>
    <t>Auction - Session Management</t>
  </si>
  <si>
    <t>Create auction session + validate seller / product / no duplicate active session</t>
  </si>
  <si>
    <t>3.5.1</t>
  </si>
  <si>
    <t>Blocks 2 active sessions for the same product</t>
  </si>
  <si>
    <t>F10.3</t>
  </si>
  <si>
    <t>Reservation check + expiry job + stock release</t>
  </si>
  <si>
    <t>Reservation auto-releases after 30 minutes</t>
  </si>
  <si>
    <t>F10.5</t>
  </si>
  <si>
    <t>Inventory change handling + event-driven update rules</t>
  </si>
  <si>
    <t>Paid → deduct stock; canceled/failed → release stock</t>
  </si>
  <si>
    <t>F04.4</t>
  </si>
  <si>
    <t>Publish catalog domain events</t>
  </si>
  <si>
    <t>S7</t>
  </si>
  <si>
    <t>5 catalog events</t>
  </si>
  <si>
    <t>F05.1</t>
  </si>
  <si>
    <t>E05</t>
  </si>
  <si>
    <t>Commerce - Cart, Checkout, Payment</t>
  </si>
  <si>
    <t>Cart lifecycle: guest cart, merge on login, expiry job</t>
  </si>
  <si>
    <t>3.4.1</t>
  </si>
  <si>
    <t>1 active cart per user; expires after 7 days</t>
  </si>
  <si>
    <t>F07.2</t>
  </si>
  <si>
    <t>Auction session configuration (before start only)</t>
  </si>
  <si>
    <t>Configuration locks once the session is ACTIVE</t>
  </si>
  <si>
    <t>F07.3</t>
  </si>
  <si>
    <t>Session lifecycle scheduler: auto start / end + blocks invalid state</t>
  </si>
  <si>
    <t>S7–S8</t>
  </si>
  <si>
    <t>Start/end timing drift &lt;= 5 seconds</t>
  </si>
  <si>
    <t>F13.8</t>
  </si>
  <si>
    <t>Admin console (lightweight): users, categories, orders, config, event log</t>
  </si>
  <si>
    <t>Uses an admin template, no custom design</t>
  </si>
  <si>
    <t>F05.2</t>
  </si>
  <si>
    <t>Add / edit / remove cart items + validation</t>
  </si>
  <si>
    <t>S8</t>
  </si>
  <si>
    <t>Add to cart &lt;= 500ms</t>
  </si>
  <si>
    <t>F05.3</t>
  </si>
  <si>
    <t>Cart pricing: subtotal, tax, discounts, estimated shipping</t>
  </si>
  <si>
    <t>S8–S9</t>
  </si>
  <si>
    <t>Matches 100% with the checkout price recalculation step</t>
  </si>
  <si>
    <t>F07.4</t>
  </si>
  <si>
    <t>Session cancellation: conditions, handling, events, consistency, audit</t>
  </si>
  <si>
    <t>After cancellation: blocks both bidding and settlement</t>
  </si>
  <si>
    <t>F13.7</t>
  </si>
  <si>
    <t>Seller portal (lightweight): products, inventory, auction session creation, order handling</t>
  </si>
  <si>
    <t>Web only, no mobile app</t>
  </si>
  <si>
    <t>F05.4</t>
  </si>
  <si>
    <t>Cart validation before checkout</t>
  </si>
  <si>
    <t>S9</t>
  </si>
  <si>
    <t>Catches out-of-stock / price-changed / INACTIVE products</t>
  </si>
  <si>
    <t>F05.5</t>
  </si>
  <si>
    <t>Checkout flow: address, method, price recalculation, timeout</t>
  </si>
  <si>
    <t>3.4.2</t>
  </si>
  <si>
    <t>S9–S10</t>
  </si>
  <si>
    <t>F05.4, F10.2</t>
  </si>
  <si>
    <t>15-minute timeout releases the reservation</t>
  </si>
  <si>
    <t>F07.5</t>
  </si>
  <si>
    <t>Admin force-cancel session</t>
  </si>
  <si>
    <t>Event records the admin who performed the action</t>
  </si>
  <si>
    <t>F08.1</t>
  </si>
  <si>
    <t>E08</t>
  </si>
  <si>
    <t>Auction - Bidding</t>
  </si>
  <si>
    <t>Place bid + validate active session / minimum increment / bidder eligibility</t>
  </si>
  <si>
    <t>3.5.2</t>
  </si>
  <si>
    <t>Bid placement &lt;= 300ms</t>
  </si>
  <si>
    <t>F13.4</t>
  </si>
  <si>
    <t>Buyer: cart + checkout + payment</t>
  </si>
  <si>
    <t>S9–S11</t>
  </si>
  <si>
    <t>Stripe Elements; never touches card data</t>
  </si>
  <si>
    <t>F05.6</t>
  </si>
  <si>
    <t>Stripe integration - payment initiation</t>
  </si>
  <si>
    <t>S10</t>
  </si>
  <si>
    <t>E2E on sandbox; card number / CVV never stored</t>
  </si>
  <si>
    <t>F08.2</t>
  </si>
  <si>
    <t>Bid concurrency handling (Redis + optimistic locking)</t>
  </si>
  <si>
    <t>3.5.2, 5.1</t>
  </si>
  <si>
    <t>No lost bids, no ordering errors at 3,000 bids/minute</t>
  </si>
  <si>
    <t>F00.FE</t>
  </si>
  <si>
    <t>Frontend polish: accessibility, cross-browser</t>
  </si>
  <si>
    <t>S11–S15</t>
  </si>
  <si>
    <t>Lighthouse accessibility &gt;= 90 on 5 key pages</t>
  </si>
  <si>
    <t>F05.7</t>
  </si>
  <si>
    <t>Payment confirmation webhook + idempotency window + retry</t>
  </si>
  <si>
    <t>S11</t>
  </si>
  <si>
    <t>Duplicate webhook does not create 2 orders; retries 3 times</t>
  </si>
  <si>
    <t>F06.1</t>
  </si>
  <si>
    <t>E06</t>
  </si>
  <si>
    <t>Commerce - Order Management</t>
  </si>
  <si>
    <t>Order creation + product/price snapshot + idempotency key</t>
  </si>
  <si>
    <t>3.4.3</t>
  </si>
  <si>
    <t>S11–S12</t>
  </si>
  <si>
    <t>Order creation &lt;= 1.5s; idempotent</t>
  </si>
  <si>
    <t>F08.3</t>
  </si>
  <si>
    <t>Bid history + display rules</t>
  </si>
  <si>
    <t>Masks bidder identity per the rules</t>
  </si>
  <si>
    <t>F08.4</t>
  </si>
  <si>
    <t>Outbid detection + event emission</t>
  </si>
  <si>
    <t>Outbid event reaches Notification &lt;= 1s</t>
  </si>
  <si>
    <t>F08.5</t>
  </si>
  <si>
    <t>Anti-sniping: end-time extension + extension cap</t>
  </si>
  <si>
    <t>5-minute extension, capped per configuration</t>
  </si>
  <si>
    <t>F14.3</t>
  </si>
  <si>
    <t>Performance testing: 3,000 bids/minute, catalog 1,000 rps</t>
  </si>
  <si>
    <t>5.1</t>
  </si>
  <si>
    <t>F08.2, F04.3</t>
  </si>
  <si>
    <t>Meets every SLA in SRS section 5.1</t>
  </si>
  <si>
    <t>F06.2</t>
  </si>
  <si>
    <t>Order status state machine + blocks invalid transitions</t>
  </si>
  <si>
    <t>S12</t>
  </si>
  <si>
    <t>Blocks every invalid transition</t>
  </si>
  <si>
    <t>F08.6</t>
  </si>
  <si>
    <t>Realtime price push (WebSocket/SSE)</t>
  </si>
  <si>
    <t>1,000 clients/session receive updates &lt;= 1s</t>
  </si>
  <si>
    <t>F09.1</t>
  </si>
  <si>
    <t>E09</t>
  </si>
  <si>
    <t>Auction - Settlement</t>
  </si>
  <si>
    <t>Session end processing + session lock</t>
  </si>
  <si>
    <t>3.5.3</t>
  </si>
  <si>
    <t>After ending: 100% of bids are rejected</t>
  </si>
  <si>
    <t>F09.2</t>
  </si>
  <si>
    <t>Determine winner + handle sessions with no bids</t>
  </si>
  <si>
    <t>At most 1 winner per session</t>
  </si>
  <si>
    <t>F13.6</t>
  </si>
  <si>
    <t>Auction: list, detail, realtime bidding UI, price history</t>
  </si>
  <si>
    <t>S12–S14</t>
  </si>
  <si>
    <t>F08.3, F08.6</t>
  </si>
  <si>
    <t>Realtime update &lt;= 1s</t>
  </si>
  <si>
    <t>F06.3</t>
  </si>
  <si>
    <t>Order tracking + status history</t>
  </si>
  <si>
    <t>S13</t>
  </si>
  <si>
    <t>Displays the full timeline</t>
  </si>
  <si>
    <t>F06.4</t>
  </si>
  <si>
    <t>Order history + filter by status / date</t>
  </si>
  <si>
    <t>Has an empty-state "No data" view</t>
  </si>
  <si>
    <t>F09.3</t>
  </si>
  <si>
    <t>Settlement event → Commerce creates the order (Auction never creates orders itself)</t>
  </si>
  <si>
    <t>F09.2, F06.1</t>
  </si>
  <si>
    <t>Saga: session settled → order gets created</t>
  </si>
  <si>
    <t>F09.4</t>
  </si>
  <si>
    <t>Payment deadline enforcement + timeout event + reputation penalty</t>
  </si>
  <si>
    <t>S13–S14</t>
  </si>
  <si>
    <t>F09.3, F12.2</t>
  </si>
  <si>
    <t>Past 24h fires a timeout event and deducts reputation points</t>
  </si>
  <si>
    <t>F12.2</t>
  </si>
  <si>
    <t>E12</t>
  </si>
  <si>
    <t>User Reputation</t>
  </si>
  <si>
    <t>Reputation score + trust level calculation</t>
  </si>
  <si>
    <t>3.1.2</t>
  </si>
  <si>
    <t>Score recalculates on review or penalty</t>
  </si>
  <si>
    <t>F12.3</t>
  </si>
  <si>
    <t>Enforce MIN_REPUTATION_TO_BID / TO_SELL rules</t>
  </si>
  <si>
    <t>F12.2, F07.1, F08.1</t>
  </si>
  <si>
    <t>Blocks bidding / session creation below threshold (toggled via FEATURE_REPUTATION_ENFORCEMENT)</t>
  </si>
  <si>
    <t>F13.5</t>
  </si>
  <si>
    <t>Buyer: order history + shipment tracking</t>
  </si>
  <si>
    <t>F06.3, F06.4</t>
  </si>
  <si>
    <t>F14.2</t>
  </si>
  <si>
    <t>E2E automation for critical flows</t>
  </si>
  <si>
    <t>F06.1, F06.5</t>
  </si>
  <si>
    <t>Covers: checkout, bidding, settlement, refunds</t>
  </si>
  <si>
    <t>F06.5</t>
  </si>
  <si>
    <t>Order cancellation + refund flow + refund status tracking</t>
  </si>
  <si>
    <t>S14</t>
  </si>
  <si>
    <t>F06.2, F05.7</t>
  </si>
  <si>
    <t>Refund is idempotent and reconcilable</t>
  </si>
  <si>
    <t>F09.5</t>
  </si>
  <si>
    <t>Settlement completion + exactly-once handling</t>
  </si>
  <si>
    <t>Re-running settlement does not change the outcome</t>
  </si>
  <si>
    <t>F10.6</t>
  </si>
  <si>
    <t>Stock reservation for auction sessions + settlement handling</t>
  </si>
  <si>
    <t>S14–S15</t>
  </si>
  <si>
    <t>F10.2, F09.5</t>
  </si>
  <si>
    <t>Session created → stock reserved; session failed → stock released</t>
  </si>
  <si>
    <t>F11.1</t>
  </si>
  <si>
    <t>E11</t>
  </si>
  <si>
    <t>Fulfillment - Shipping &amp; Logistics</t>
  </si>
  <si>
    <t>Shipping orchestrator + shipment entity + internal status model</t>
  </si>
  <si>
    <t>3.6.2</t>
  </si>
  <si>
    <t>Shipment is linked to the order and warehouse</t>
  </si>
  <si>
    <t>F00.B</t>
  </si>
  <si>
    <t>Integration hardening &amp; bug fixing (Track B)</t>
  </si>
  <si>
    <t>S15</t>
  </si>
  <si>
    <t>Closes every Major defect in the auction flow</t>
  </si>
  <si>
    <t>F06.6</t>
  </si>
  <si>
    <t>Admin order management + exception handling</t>
  </si>
  <si>
    <t>Admin can change status within allowed limits</t>
  </si>
  <si>
    <t>F11.2</t>
  </si>
  <si>
    <t>Carrier adapter framework</t>
  </si>
  <si>
    <t>Adding a new carrier requires no core changes</t>
  </si>
  <si>
    <t>F11.3</t>
  </si>
  <si>
    <t>GHN adapter: rate quote, waybill creation, tracking webhook</t>
  </si>
  <si>
    <t>E2E on GHN sandbox</t>
  </si>
  <si>
    <t>F11.4</t>
  </si>
  <si>
    <t>Carrier status mapping + idempotent updates + events</t>
  </si>
  <si>
    <t>S16</t>
  </si>
  <si>
    <t>Duplicate webhook does not change status</t>
  </si>
  <si>
    <t>F11.5</t>
  </si>
  <si>
    <t>Retry policy for carrier failures</t>
  </si>
  <si>
    <t>Carrier outage does not block order processing</t>
  </si>
  <si>
    <t>F12.1</t>
  </si>
  <si>
    <t>Post-transaction review (once per party, no self-review)</t>
  </si>
  <si>
    <t>F06.2, F09.5</t>
  </si>
  <si>
    <t>Reviews only allowed after order completion / session ends</t>
  </si>
  <si>
    <t>F14.4</t>
  </si>
  <si>
    <t>Security: OWASP scan, pentest, PCI-DSS checklist</t>
  </si>
  <si>
    <t>No open High/Critical findings remain</t>
  </si>
  <si>
    <t>F14.5</t>
  </si>
  <si>
    <t>DR drill: backup/restore, RTO 4h / RPO 15 min</t>
  </si>
  <si>
    <t>Successful restore with evidence</t>
  </si>
  <si>
    <t>TOTAL RELEASE 1 SCOPE</t>
  </si>
  <si>
    <t>SUMMARY BY EPIC</t>
  </si>
  <si>
    <t>Service / Domain</t>
  </si>
  <si>
    <t>Features</t>
  </si>
  <si>
    <t>% of total scope</t>
  </si>
  <si>
    <t>Start sprint</t>
  </si>
  <si>
    <t>End sprint</t>
  </si>
  <si>
    <t>Cross-cutting</t>
  </si>
  <si>
    <t>User Service</t>
  </si>
  <si>
    <t>Commerce Service</t>
  </si>
  <si>
    <t>Auction Service</t>
  </si>
  <si>
    <t>Fulfillment Service</t>
  </si>
  <si>
    <t>Frontend</t>
  </si>
  <si>
    <t>TOTAL</t>
  </si>
  <si>
    <t>SPRINT PLAN — LOAD VS. CAPACITY BY TRACK</t>
  </si>
  <si>
    <t>Capacity per sprint at 100%: Track A = 20 · Track B = 16 · Frontend = 8 · QA = 8 dev-day. S8 runs 3 calendar weeks to absorb the 5-day Tet break (06/02/2027); capacity is counted at 80% due to reduced productivity around the break.</t>
  </si>
  <si>
    <t>From</t>
  </si>
  <si>
    <t>To</t>
  </si>
  <si>
    <t>Weeks</t>
  </si>
  <si>
    <t>Capacity</t>
  </si>
  <si>
    <t>Sprint theme</t>
  </si>
  <si>
    <t>A load</t>
  </si>
  <si>
    <t>A cap</t>
  </si>
  <si>
    <t>B load</t>
  </si>
  <si>
    <t>B cap</t>
  </si>
  <si>
    <t>FE load</t>
  </si>
  <si>
    <t>FE cap</t>
  </si>
  <si>
    <t>QA load</t>
  </si>
  <si>
    <t>QA cap</t>
  </si>
  <si>
    <t>Total load</t>
  </si>
  <si>
    <t>Total cap</t>
  </si>
  <si>
    <t>% used</t>
  </si>
  <si>
    <t>28/09/2026</t>
  </si>
  <si>
    <t>09/10/2026</t>
  </si>
  <si>
    <t>Tech stack training: Backend (Java, Spring Boot) &amp; Frontend (ReactJS, HTML, CSS)</t>
  </si>
  <si>
    <t>12/10/2026</t>
  </si>
  <si>
    <t>23/10/2026</t>
  </si>
  <si>
    <t>Inception &amp; platform bootstrap</t>
  </si>
  <si>
    <t>26/10/2026</t>
  </si>
  <si>
    <t>06/11/2026</t>
  </si>
  <si>
    <t>Platform: gateway, event bus, environments</t>
  </si>
  <si>
    <t>09/11/2026</t>
  </si>
  <si>
    <t>20/11/2026</t>
  </si>
  <si>
    <t>Platform completion + User Service</t>
  </si>
  <si>
    <t>23/11/2026</t>
  </si>
  <si>
    <t>04/12/2026</t>
  </si>
  <si>
    <t>Authentication &amp; Event log + Inventory record</t>
  </si>
  <si>
    <t>07/12/2026</t>
  </si>
  <si>
    <t>18/12/2026</t>
  </si>
  <si>
    <t>IAM completion + Inventory reservation</t>
  </si>
  <si>
    <t>04/01/2027</t>
  </si>
  <si>
    <t>15/01/2027</t>
  </si>
  <si>
    <t>Catalog + Inventory release + Auction session creation</t>
  </si>
  <si>
    <t>18/01/2027</t>
  </si>
  <si>
    <t>29/01/2027</t>
  </si>
  <si>
    <t>Catalog search + Auction lifecycle + Shopping cart</t>
  </si>
  <si>
    <t>01/02/2027</t>
  </si>
  <si>
    <t>19/02/2027</t>
  </si>
  <si>
    <t>Tet holiday - reduced capacity: Cart &amp; pricing + Auction cancellation</t>
  </si>
  <si>
    <t>22/02/2027</t>
  </si>
  <si>
    <t>05/03/2027</t>
  </si>
  <si>
    <t>Checkout + Bidding</t>
  </si>
  <si>
    <t>08/03/2027</t>
  </si>
  <si>
    <t>19/03/2027</t>
  </si>
  <si>
    <t>Stripe payment + Bid concurrency handling</t>
  </si>
  <si>
    <t>22/03/2027</t>
  </si>
  <si>
    <t>02/04/2027</t>
  </si>
  <si>
    <t>Payment webhook + Bid history &amp; anti-sniping + Performance testing</t>
  </si>
  <si>
    <t>05/04/2027</t>
  </si>
  <si>
    <t>Order creation + Auction settlement start</t>
  </si>
  <si>
    <t>19/04/2027</t>
  </si>
  <si>
    <t>Order lifecycle + Settlement + Reputation + E2E automation</t>
  </si>
  <si>
    <t>03/05/2027</t>
  </si>
  <si>
    <t>14/05/2027</t>
  </si>
  <si>
    <t>Refunds + Shipping + Settlement completion</t>
  </si>
  <si>
    <t>17/05/2027</t>
  </si>
  <si>
    <t>28/05/2027</t>
  </si>
  <si>
    <t>GHN shipping + Feature freeze</t>
  </si>
  <si>
    <t>31/05/2027</t>
  </si>
  <si>
    <t>11/06/2027</t>
  </si>
  <si>
    <t>Hardening, performance, pentest, UAT, go-live</t>
  </si>
  <si>
    <t>NOTE: the “Total cap” column includes S16 (the hardening sprint) and all of QA's capacity. The real buffer must be calculated over each track's DELIVERY sprints only — see the table below.</t>
  </si>
  <si>
    <t>ACTUAL BUFFER BY TRACK (delivery sprints only, EXCLUDING the S16 hardening sprint)</t>
  </si>
  <si>
    <t>Track name</t>
  </si>
  <si>
    <t>Delivery sprints</t>
  </si>
  <si>
    <t>Scope (dev-day)</t>
  </si>
  <si>
    <t>Capacity (dev-day)</t>
  </si>
  <si>
    <t>Buffer %</t>
  </si>
  <si>
    <t>Assessment</t>
  </si>
  <si>
    <t>Track A - Commerce &amp; Platform (Tech Lead 50% + 2 BE)</t>
  </si>
  <si>
    <t>S1 – S15</t>
  </si>
  <si>
    <t>Track B - Async &amp; Auction (2 BE)</t>
  </si>
  <si>
    <t>S3 – S15</t>
  </si>
  <si>
    <t>Frontend (1 FE)</t>
  </si>
  <si>
    <t>S2 – S15</t>
  </si>
  <si>
    <t>QA Automation (1 QA)</t>
  </si>
  <si>
    <t>S3 – S16</t>
  </si>
  <si>
    <t>Track B (the entire auction flow) is the constraint that governs the pace of the whole plan. Adding 1 backend dev to Track B would raise the buffer from 3.8% to about 22%.</t>
  </si>
  <si>
    <t>MILESTONES &amp; ACCEPTANCE CRITERIA</t>
  </si>
  <si>
    <t>Code</t>
  </si>
  <si>
    <t>Milestone</t>
  </si>
  <si>
    <t>Date</t>
  </si>
  <si>
    <t>Conditions to declare MET (exit criteria)</t>
  </si>
  <si>
    <t>M0</t>
  </si>
  <si>
    <t>Platform ready</t>
  </si>
  <si>
    <t>CI/CD running; event bus can publish/consume; observability has tracing; can deploy to STAGING</t>
  </si>
  <si>
    <t>M1</t>
  </si>
  <si>
    <t>Identity &amp; Catalog</t>
  </si>
  <si>
    <t>Sign up / sign in / password reset; product &amp; category CRUD; search &lt;= 800ms; product browsing UI</t>
  </si>
  <si>
    <t>M2</t>
  </si>
  <si>
    <t>Commerce core runs end-to-end</t>
  </si>
  <si>
    <t>Cart → checkout → Stripe → order → stock reservation and deduction, running end-to-end on STAGING</t>
  </si>
  <si>
    <t>M3</t>
  </si>
  <si>
    <t>Auction runs end-to-end</t>
  </si>
  <si>
    <t>Session creation → concurrent bidding → anti-sniping → settlement → order created from the auction</t>
  </si>
  <si>
    <t>M4</t>
  </si>
  <si>
    <t>Feature complete / code freeze</t>
  </si>
  <si>
    <t>GHN waybill; email notifications; reputation-based blocking; all Must-scope done</t>
  </si>
  <si>
    <t>M5</t>
  </si>
  <si>
    <t>Go-Live</t>
  </si>
  <si>
    <t>Performance tests meet SRS section 5.1 SLAs; no open High/Critical findings; DR drill passed; UAT signed off</t>
  </si>
  <si>
    <t>No milestone is scheduled during S8 (Tet, 06/02/2027) or in any sprint running below 100% capacity.</t>
  </si>
  <si>
    <t>DEFERRED SCOPE — AND WHY</t>
  </si>
  <si>
    <t>Every item below is in SRS v1.0 but is NOT part of Release 1. The Product Owner needs to sign off on this list.</t>
  </si>
  <si>
    <t>Item</t>
  </si>
  <si>
    <t>Reason deferred</t>
  </si>
  <si>
    <t>Release</t>
  </si>
  <si>
    <t>D01</t>
  </si>
  <si>
    <t>Promotions / discount code engine</t>
  </si>
  <si>
    <t>Section 1.2 (in scope) but MISSING a spec in section 3</t>
  </si>
  <si>
    <t>SRS has no spec yet, so it cannot be reliably estimated</t>
  </si>
  <si>
    <t>R1.1</t>
  </si>
  <si>
    <t>D02</t>
  </si>
  <si>
    <t>Warehouse selection + multi-warehouse order splitting</t>
  </si>
  <si>
    <t>SRS sets FEATURE_MULTI_WAREHOUSE_ENABLED = false; MVP uses a single warehouse</t>
  </si>
  <si>
    <t>D03</t>
  </si>
  <si>
    <t>Second carrier (GHTK) + multi-carrier strategy</t>
  </si>
  <si>
    <t>1 carrier is enough for MVP; the adapter framework is already in place</t>
  </si>
  <si>
    <t>D04</t>
  </si>
  <si>
    <t>Push notification channel</t>
  </si>
  <si>
    <t>R1 uses in-app WebSocket for realtime needs</t>
  </si>
  <si>
    <t>D05</t>
  </si>
  <si>
    <t>SMS notification channel</t>
  </si>
  <si>
    <t>SRS sets SMS_NOTIFICATION_ENABLED = false</t>
  </si>
  <si>
    <t>R2</t>
  </si>
  <si>
    <t>D06</t>
  </si>
  <si>
    <t>Migrate to OpenSearch + relevance tuning</t>
  </si>
  <si>
    <t>Postgres FTS is sufficient under 500,000 products</t>
  </si>
  <si>
    <t>D07</t>
  </si>
  <si>
    <t>Product discovery (popularity, ending soon, recommendations)</t>
  </si>
  <si>
    <t>Not part of the core transaction flow</t>
  </si>
  <si>
    <t>D08</t>
  </si>
  <si>
    <t>PDF invoice / receipt generation</t>
  </si>
  <si>
    <t>R1 sends an HTML email receipt</t>
  </si>
  <si>
    <t>D09</t>
  </si>
  <si>
    <t>Dynamic role/privilege CRUD (admin-defined roles)</t>
  </si>
  <si>
    <t>R1 uses the fixed RBAC matrix from section 2.7</t>
  </si>
  <si>
    <t>D10</t>
  </si>
  <si>
    <t>Full violation-handling &amp; penalty engine</t>
  </si>
  <si>
    <t>R1 only deducts points for late payment + manual admin adjustment</t>
  </si>
  <si>
    <t>D11</t>
  </si>
  <si>
    <t>Dispute handling &amp; review flagging</t>
  </si>
  <si>
    <t>Requires a dispute workflow definition (missing from the SRS)</t>
  </si>
  <si>
    <t>D12</t>
  </si>
  <si>
    <t>Dedicated console for Support Staff</t>
  </si>
  <si>
    <t>2.3 / 2.7</t>
  </si>
  <si>
    <t>R1: Support uses the Admin console</t>
  </si>
  <si>
    <t>D13</t>
  </si>
  <si>
    <t>Notification preferences &amp; history UI</t>
  </si>
  <si>
    <t>Transactional notifications are always sent - sufficient for R1</t>
  </si>
  <si>
    <t>D14</t>
  </si>
  <si>
    <t>Transaction summary + detailed reputation display</t>
  </si>
  <si>
    <t>R1 only shows the score and trust level</t>
  </si>
  <si>
    <t>D15</t>
  </si>
  <si>
    <t>Private / restricted auction sessions + access control</t>
  </si>
  <si>
    <t>R1 only supports public sessions</t>
  </si>
  <si>
    <t>D16</t>
  </si>
  <si>
    <t>Carrier performance tracking</t>
  </si>
  <si>
    <t>Needs historical data - not available in R1</t>
  </si>
  <si>
    <t>D17</t>
  </si>
  <si>
    <t>Pick / pack &amp; ship workflow in inventory</t>
  </si>
  <si>
    <t>R1: paid → deduct stock → ship, no separate pick/pack</t>
  </si>
  <si>
    <t>D18</t>
  </si>
  <si>
    <t>Admin inventory adjustment UI</t>
  </si>
  <si>
    <t>R1 uses API calls and scripts</t>
  </si>
  <si>
    <t>D19</t>
  </si>
  <si>
    <t>Mutual TLS between services</t>
  </si>
  <si>
    <t>SRS says "may be applied"; R1 uses K8s network policy</t>
  </si>
  <si>
    <t>D20</t>
  </si>
  <si>
    <t>Blue-green deployment</t>
  </si>
  <si>
    <t>R1 uses rolling updates (still zero downtime)</t>
  </si>
  <si>
    <t>D21</t>
  </si>
  <si>
    <t>Seller mobile app</t>
  </si>
  <si>
    <t>1.2 (out of scope for v1.0)</t>
  </si>
  <si>
    <t>SRS already declares this out of scope for v1.0</t>
  </si>
  <si>
    <t>D22</t>
  </si>
  <si>
    <t>In-house logistics system</t>
  </si>
  <si>
    <t>RISK REGISTER</t>
  </si>
  <si>
    <t>Score = Probability x Impact (1-5 scale), sorted descending. Risks scoring 20 or above are reviewed every sprint.</t>
  </si>
  <si>
    <t>Risk</t>
  </si>
  <si>
    <t>Category</t>
  </si>
  <si>
    <t>Probability</t>
  </si>
  <si>
    <t>Impact</t>
  </si>
  <si>
    <t>Score</t>
  </si>
  <si>
    <t>Mitigation</t>
  </si>
  <si>
    <t>Owner</t>
  </si>
  <si>
    <t>R01</t>
  </si>
  <si>
    <t>Capacity shortfall: R1 scope is 609 dev-day against a 6-month / 8-person target</t>
  </si>
  <si>
    <t>Schedule</t>
  </si>
  <si>
    <t>High</t>
  </si>
  <si>
    <t>Decide on one of three options before 30/09/2026: (A) add 3 backend devs to hold the 16/04/2027 date; (B) keep the 8-person team, go-live 12/06/2027; (C) cut auction to R2, go-live 30/04/2027</t>
  </si>
  <si>
    <t>PO/PM + Sponsor</t>
  </si>
  <si>
    <t>R02</t>
  </si>
  <si>
    <t>Only 1 frontend dev for 4 UI surfaces (buyer, seller, admin, realtime bidding)</t>
  </si>
  <si>
    <t>Use a ready-made admin template (Ant Design Pro / Refine) for admin and seller; no custom design in R1; add 1 more FE from S7 if FE velocity drops below 80%</t>
  </si>
  <si>
    <t>Tech Lead</t>
  </si>
  <si>
    <t>R03</t>
  </si>
  <si>
    <t>Bid concurrency handling: 3,000 bids/minute, latency &lt;= 300ms, zero lost bids</t>
  </si>
  <si>
    <t>Technical</t>
  </si>
  <si>
    <t>Spike Redis + optimistic locking in S6 (before real coding in S10); performance test in S11-S12, NOT waiting until S16; split Auction into its own service from day one</t>
  </si>
  <si>
    <t>R04</t>
  </si>
  <si>
    <t>7 microservices with 5 devs is roughly 1 dev/service (an anti-pattern), operational overhead too high</t>
  </si>
  <si>
    <t>Medium</t>
  </si>
  <si>
    <t>ADR-002: modular monolith with bounded contexts + separate schemas + event bus, EXCEPT Auction Service, which is split out (due to the 3,000 bids/minute NFR). Split further only when scaling is truly needed</t>
  </si>
  <si>
    <t>Tech Lead + PO</t>
  </si>
  <si>
    <t>R05</t>
  </si>
  <si>
    <t>SRS gaps remain: missing System Context / Architecture / Component diagrams; promotions are in scope but unspecified; dispute workflow and Support Staff role are missing</t>
  </si>
  <si>
    <t>Requirements</t>
  </si>
  <si>
    <t>BA completes SRS v1.1 before S4 (04/12/2026); promotions move to R1.1; disputes move to R2. PO signs off on the gap list</t>
  </si>
  <si>
    <t>PO + BA (HauNK)</t>
  </si>
  <si>
    <t>R06</t>
  </si>
  <si>
    <t>Tet 2027 (06/02) plus Christmas and New Year cost roughly 2.5 weeks of capacity</t>
  </si>
  <si>
    <t>Calendar</t>
  </si>
  <si>
    <t>Already built into the plan: S8 runs 3 weeks at 80% capacity; the 19/12-03/01 break is not counted as a sprint; no milestone is scheduled in S8</t>
  </si>
  <si>
    <t>PM</t>
  </si>
  <si>
    <t>R10</t>
  </si>
  <si>
    <t>Key-person dependency: each domain is owned by just 1 dev</t>
  </si>
  <si>
    <t>People</t>
  </si>
  <si>
    <t>Require 2 reviewers per PR; rotate pairing once per sprint; ADRs and OpenAPI stay living documents; no long leave during a milestone sprint</t>
  </si>
  <si>
    <t>PM + Tech Lead</t>
  </si>
  <si>
    <t>R11</t>
  </si>
  <si>
    <t>Scope creep from mid-cycle stakeholder requests</t>
  </si>
  <si>
    <t>Change control: every new request must trade 1-for-1 against an existing Must item; only the PO can add work to the sprint backlog</t>
  </si>
  <si>
    <t>PO</t>
  </si>
  <si>
    <t>R07</t>
  </si>
  <si>
    <t>Strong consistency requirement (orders / payment / auction) on an event-driven architecture</t>
  </si>
  <si>
    <t>ADR-003: Saga + Transactional Outbox + idempotency keys on every critical API; contract tests are mandatory in CI</t>
  </si>
  <si>
    <t>R08</t>
  </si>
  <si>
    <t>Stripe integration and PCI-DSS compliance</t>
  </si>
  <si>
    <t>Compliance</t>
  </si>
  <si>
    <t>Use Stripe Elements/Checkout so card data never touches our systems; PCI-DSS SAQ-A checklist from S10; pentest in S16</t>
  </si>
  <si>
    <t>Tech Lead + QA</t>
  </si>
  <si>
    <t>R09</t>
  </si>
  <si>
    <t>Quality and readiness of the GHN sandbox / carrier API</t>
  </si>
  <si>
    <t>External</t>
  </si>
  <si>
    <t>Request sandbox access from S11 (before coding in S15); mock adapter + contract tests to avoid being blocked; fallback is manual waybill creation</t>
  </si>
  <si>
    <t>R12</t>
  </si>
  <si>
    <t>Unit test coverage &gt;= 70% (NFR 5.6) sacrificed under deadline pressure</t>
  </si>
  <si>
    <t>Quality</t>
  </si>
  <si>
    <t>CI coverage gate blocks merges from S3; DoD requires tests; no exceptions - technical debt is tracked as a defect</t>
  </si>
  <si>
    <t>QA + Tech Lead</t>
  </si>
  <si>
    <t>TEAM, CAPACITY &amp; WORKING PROCESS</t>
  </si>
  <si>
    <t>A. TEAM CONFIGURATION (8 people)</t>
  </si>
  <si>
    <t>Role</t>
  </si>
  <si>
    <t>Count</t>
  </si>
  <si>
    <t>Dev FTE</t>
  </si>
  <si>
    <t>Assignment</t>
  </si>
  <si>
    <t>Key responsibilities</t>
  </si>
  <si>
    <t>Product Owner / Project Manager</t>
  </si>
  <si>
    <t>Both tracks - Tuan</t>
  </si>
  <si>
    <t>Owns the backlog and its priority order; the ONLY person allowed to add work to the sprint backlog; runs change control; reports to stakeholders; signs off on the deferred list</t>
  </si>
  <si>
    <t>Tech Lead / Solution Architect</t>
  </si>
  <si>
    <t>Track A (plus ADR ownership, reviews both tracks)</t>
  </si>
  <si>
    <t>Owns ADRs and contracts (OpenAPI + event schema); reviews 100% of PRs on critical flows; runs technical spikes; accountable for meeting the NFRs in SRS section 5</t>
  </si>
  <si>
    <t>Backend Developer</t>
  </si>
  <si>
    <t>2 on Track A, 2 on Track B</t>
  </si>
  <si>
    <t>Writes code with unit and integration tests per the DoD; 2 on Track A (platform and commerce), 2 on Track B (auction and inventory); rotates pairing once per sprint</t>
  </si>
  <si>
    <t>Frontend Developer</t>
  </si>
  <si>
    <t>Shared</t>
  </si>
  <si>
    <t>Buyer web, admin and seller portal (using templates), realtime bidding UI; owns the design system and accessibility</t>
  </si>
  <si>
    <t>QA / Automation Engineer</t>
  </si>
  <si>
    <t>Shared (capacity tracked separately)</t>
  </si>
  <si>
    <t>Test strategy; automation framework, contract tests and E2E; performance testing; owns the CI quality gate</t>
  </si>
  <si>
    <t>B. DEFINITION OF READY — not met means it does NOT go into a sprint</t>
  </si>
  <si>
    <t>• Has a clear problem statement and user value: who, does what, to get what</t>
  </si>
  <si>
    <t>• Acceptance criteria written as Given-When-Then, and measurable</t>
  </si>
  <si>
    <t>• API contract (OpenAPI) and event schema agreed with dependent services</t>
  </si>
  <si>
    <t>• Dependencies identified, and each is either done or has a mock/stub available</t>
  </si>
  <si>
    <t>• Estimate is no more than 10 dev-day (larger items must be split — a story can't span sprints)</t>
  </si>
  <si>
    <t>• Has a wireframe if there's a UI change</t>
  </si>
  <si>
    <t>• Clearly identifies which SRS section 2.6 configuration is affected and what its default value is</t>
  </si>
  <si>
    <t>C. DEFINITION OF DONE — not met means it does NOT count as finished</t>
  </si>
  <si>
    <t>• Code merged to main; approved by 2 reviewers (mandatory for critical flows: payment, orders, bidding, settlement)</t>
  </si>
  <si>
    <t>• Unit test coverage &gt;= 70% for the changed module — a CI quality gate blocks merges (NFR section 5.6)</t>
  </si>
  <si>
    <t>• Contract tests pass; OpenAPI spec updated and auto-published</t>
  </si>
  <si>
    <t>• Domain events published to the correct schema and verified in the Event Log Service (SRS section 3.2.1)</t>
  </si>
  <si>
    <t>• APIs are idempotent for critical operations: order creation, payment callback, bidding, settlement (NFR section 5.3)</t>
  </si>
  <si>
    <t>• Structured logs carry a trace-id; request rate / error rate / p95, p99 latency metrics are exposed (NFR section 5.5)</t>
  </si>
  <si>
    <t>• Audit logs fully record important actions, and are immutable (NFR section 5.8)</t>
  </si>
  <si>
    <t>• Successfully deployed to STAGING; QA has verified on STAGING</t>
  </si>
  <si>
    <t>• No open Major/Critical defects; relevant performance SLAs from section 5.1 are measured and met</t>
  </si>
  <si>
    <t>D. CADENCE</t>
  </si>
  <si>
    <t>Activity</t>
  </si>
  <si>
    <t>Frequency</t>
  </si>
  <si>
    <t>Attendees</t>
  </si>
  <si>
    <t>Output</t>
  </si>
  <si>
    <t>Daily standup</t>
  </si>
  <si>
    <t>Daily, 9:15</t>
  </si>
  <si>
    <t>15 min</t>
  </si>
  <si>
    <t>Whole team</t>
  </si>
  <si>
    <t>Blockers are named and someone owns unblocking them that day</t>
  </si>
  <si>
    <t>Sprint planning</t>
  </si>
  <si>
    <t>Monday of each sprint</t>
  </si>
  <si>
    <t>2 hours</t>
  </si>
  <si>
    <t>Sprint goal and sprint backlog committed</t>
  </si>
  <si>
    <t>Backlog refinement</t>
  </si>
  <si>
    <t>Wednesday of week 1</t>
  </si>
  <si>
    <t>90 min</t>
  </si>
  <si>
    <t>PO, Tech Lead, 1 dev per track, QA</t>
  </si>
  <si>
    <t>Next sprint's features reach Definition of Ready</t>
  </si>
  <si>
    <t>Sprint review / demo</t>
  </si>
  <si>
    <t>Thursday, end of sprint</t>
  </si>
  <si>
    <t>60 min</t>
  </si>
  <si>
    <t>Whole team + stakeholders</t>
  </si>
  <si>
    <t>Demo on STAGING (never on a dev machine)</t>
  </si>
  <si>
    <t>Retrospective</t>
  </si>
  <si>
    <t>At most 2 action items, each with an owner and a deadline</t>
  </si>
  <si>
    <t>Architecture review</t>
  </si>
  <si>
    <t>Every 2 sprints</t>
  </si>
  <si>
    <t>Tech Lead + Backend + PO</t>
  </si>
  <si>
    <t>New ADR or an amendment to an existing one</t>
  </si>
  <si>
    <t>Risk review</t>
  </si>
  <si>
    <t>Every sprint</t>
  </si>
  <si>
    <t>30 min</t>
  </si>
  <si>
    <t>PM, Tech Lead, PO</t>
  </si>
  <si>
    <t>Risk register updated; risks scoring 20+ get a new action</t>
  </si>
  <si>
    <t>Milestone gate</t>
  </si>
  <si>
    <t>Per sheet 5</t>
  </si>
  <si>
    <t>Whole team + Sponsor</t>
  </si>
  <si>
    <t>GO / NO-GO decision based on exit criteria</t>
  </si>
  <si>
    <t>E. METRICS TRACKED EVERY SPRINT</t>
  </si>
  <si>
    <t>• Velocity (dev-day completed) versus commitment — flag if below 85% for 2 consecutive sprints</t>
  </si>
  <si>
    <t>• Scope added / removed within a sprint (target is zero — every change must be a 1-for-1 trade-off)</t>
  </si>
  <si>
    <t>• Defect leakage rate from STAGING to UAT</t>
  </si>
  <si>
    <t>• Unit test coverage and contract test count (may only increase, never decrease)</t>
  </si>
  <si>
    <t>• Number of ADRs still “proposed” for more than 1 sprint (architecture debt)</t>
  </si>
  <si>
    <t>• R1 scope burn-down: dev-day remaining versus sprints remaining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</si>
</sst>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0.0"/>
    <numFmt numFmtId="177" formatCode="#,##0.0"/>
    <numFmt numFmtId="178" formatCode="0.0%"/>
  </numFmts>
  <fonts count="35">
    <font>
      <sz val="11"/>
      <color theme="1"/>
      <name val="Calibri"/>
      <charset val="1"/>
    </font>
    <font>
      <b/>
      <sz val="16"/>
      <color rgb="FF1F3864"/>
      <name val="Arial"/>
      <charset val="1"/>
    </font>
    <font>
      <b/>
      <sz val="11"/>
      <color rgb="FF1F3864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9"/>
      <color rgb="FF595959"/>
      <name val="Arial"/>
      <charset val="1"/>
    </font>
    <font>
      <i/>
      <sz val="9"/>
      <color rgb="FFC00000"/>
      <name val="Arial"/>
      <charset val="1"/>
    </font>
    <font>
      <sz val="10"/>
      <color rgb="FF0000FF"/>
      <name val="Arial"/>
      <charset val="1"/>
    </font>
    <font>
      <sz val="9"/>
      <color rgb="FF595959"/>
      <name val="Arial"/>
      <charset val="1"/>
    </font>
    <font>
      <b/>
      <sz val="10"/>
      <color rgb="FFC00000"/>
      <name val="Arial"/>
      <charset val="1"/>
    </font>
    <font>
      <b/>
      <sz val="10"/>
      <color rgb="FF000000"/>
      <name val="Arial"/>
      <charset val="1"/>
    </font>
    <font>
      <sz val="9"/>
      <name val="Arial"/>
      <charset val="1"/>
    </font>
    <font>
      <b/>
      <sz val="10"/>
      <color rgb="FF1E7B34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FCE4D6"/>
      </patternFill>
    </fill>
    <fill>
      <patternFill patternType="solid">
        <fgColor rgb="FFC6EFCE"/>
        <bgColor rgb="FFE2EFDA"/>
      </patternFill>
    </fill>
    <fill>
      <patternFill patternType="solid">
        <fgColor rgb="FFFFF2CC"/>
        <bgColor rgb="FFFBE5D6"/>
      </patternFill>
    </fill>
    <fill>
      <patternFill patternType="solid">
        <fgColor rgb="FFFCE4D6"/>
        <bgColor rgb="FFFBE5D6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BE5D6"/>
        <bgColor rgb="FFFCE4D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4" fillId="0" borderId="0" applyBorder="0" applyAlignment="0" applyProtection="0"/>
    <xf numFmtId="44" fontId="14" fillId="0" borderId="0" applyBorder="0" applyAlignment="0" applyProtection="0"/>
    <xf numFmtId="9" fontId="14" fillId="0" borderId="0" applyBorder="0" applyAlignment="0" applyProtection="0"/>
    <xf numFmtId="41" fontId="14" fillId="0" borderId="0" applyBorder="0" applyAlignment="0" applyProtection="0"/>
    <xf numFmtId="42" fontId="14" fillId="0" borderId="0" applyBorder="0" applyAlignment="0" applyProtection="0"/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1" borderId="2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2" borderId="5" applyNumberFormat="0" applyAlignment="0" applyProtection="0">
      <alignment vertical="center"/>
    </xf>
    <xf numFmtId="0" fontId="25" fillId="13" borderId="6" applyNumberFormat="0" applyAlignment="0" applyProtection="0">
      <alignment vertical="center"/>
    </xf>
    <xf numFmtId="0" fontId="26" fillId="13" borderId="5" applyNumberFormat="0" applyAlignment="0" applyProtection="0">
      <alignment vertical="center"/>
    </xf>
    <xf numFmtId="0" fontId="27" fillId="14" borderId="7" applyNumberFormat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</cellStyleXfs>
  <cellXfs count="5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top" wrapText="1"/>
    </xf>
    <xf numFmtId="0" fontId="4" fillId="3" borderId="0" xfId="0" applyFont="1" applyFill="1"/>
    <xf numFmtId="1" fontId="4" fillId="3" borderId="0" xfId="0" applyNumberFormat="1" applyFont="1" applyFill="1" applyAlignment="1">
      <alignment horizontal="center" vertical="center"/>
    </xf>
    <xf numFmtId="176" fontId="4" fillId="3" borderId="0" xfId="0" applyNumberFormat="1" applyFont="1" applyFill="1" applyAlignment="1">
      <alignment horizontal="center" vertical="center"/>
    </xf>
    <xf numFmtId="0" fontId="5" fillId="0" borderId="0" xfId="0" applyFont="1" applyBorder="1" applyAlignment="1">
      <alignment vertical="top" wrapText="1"/>
    </xf>
    <xf numFmtId="0" fontId="6" fillId="0" borderId="0" xfId="0" applyFont="1"/>
    <xf numFmtId="0" fontId="4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3" fontId="4" fillId="3" borderId="0" xfId="0" applyNumberFormat="1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7" fillId="0" borderId="0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center"/>
    </xf>
    <xf numFmtId="9" fontId="8" fillId="0" borderId="1" xfId="0" applyNumberFormat="1" applyFont="1" applyBorder="1" applyAlignment="1">
      <alignment horizontal="center" vertical="center"/>
    </xf>
    <xf numFmtId="177" fontId="5" fillId="8" borderId="1" xfId="0" applyNumberFormat="1" applyFont="1" applyFill="1" applyBorder="1" applyAlignment="1">
      <alignment horizontal="center" vertical="center"/>
    </xf>
    <xf numFmtId="177" fontId="5" fillId="9" borderId="1" xfId="0" applyNumberFormat="1" applyFont="1" applyFill="1" applyBorder="1" applyAlignment="1">
      <alignment horizontal="center" vertical="center"/>
    </xf>
    <xf numFmtId="177" fontId="5" fillId="6" borderId="1" xfId="0" applyNumberFormat="1" applyFont="1" applyFill="1" applyBorder="1" applyAlignment="1">
      <alignment horizontal="center" vertical="center"/>
    </xf>
    <xf numFmtId="177" fontId="5" fillId="10" borderId="1" xfId="0" applyNumberFormat="1" applyFont="1" applyFill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77" fontId="4" fillId="3" borderId="1" xfId="0" applyNumberFormat="1" applyFont="1" applyFill="1" applyBorder="1" applyAlignment="1">
      <alignment horizontal="center" vertical="center"/>
    </xf>
    <xf numFmtId="9" fontId="4" fillId="3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0" fontId="0" fillId="0" borderId="1" xfId="0" applyBorder="1"/>
    <xf numFmtId="0" fontId="9" fillId="0" borderId="1" xfId="0" applyFont="1" applyBorder="1" applyAlignment="1">
      <alignment vertical="top" wrapText="1"/>
    </xf>
    <xf numFmtId="0" fontId="5" fillId="0" borderId="1" xfId="0" applyFont="1" applyBorder="1"/>
    <xf numFmtId="177" fontId="8" fillId="0" borderId="1" xfId="0" applyNumberFormat="1" applyFont="1" applyBorder="1" applyAlignment="1">
      <alignment horizontal="center" vertical="center"/>
    </xf>
    <xf numFmtId="0" fontId="10" fillId="0" borderId="0" xfId="0" applyFont="1"/>
    <xf numFmtId="0" fontId="10" fillId="0" borderId="0" xfId="0" applyFont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13" fillId="9" borderId="1" xfId="0" applyFont="1" applyFill="1" applyBorder="1" applyAlignment="1">
      <alignment vertical="top" wrapText="1"/>
    </xf>
    <xf numFmtId="0" fontId="5" fillId="9" borderId="1" xfId="0" applyFont="1" applyFill="1" applyBorder="1" applyAlignment="1">
      <alignment vertical="top" wrapText="1"/>
    </xf>
    <xf numFmtId="0" fontId="12" fillId="9" borderId="1" xfId="0" applyFont="1" applyFill="1" applyBorder="1" applyAlignment="1">
      <alignment vertical="top" wrapText="1"/>
    </xf>
    <xf numFmtId="0" fontId="6" fillId="0" borderId="0" xfId="0" applyFont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1E7B34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2CC"/>
      <rgbColor rgb="00DDEBF7"/>
      <rgbColor rgb="00660066"/>
      <rgbColor rgb="00FF8080"/>
      <rgbColor rgb="000066CC"/>
      <rgbColor rgb="00FCE4D6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A"/>
      <rgbColor rgb="00C6EFCE"/>
      <rgbColor rgb="00FFEB9C"/>
      <rgbColor rgb="0099CCFF"/>
      <rgbColor rgb="00FBE5D6"/>
      <rgbColor rgb="00CC99FF"/>
      <rgbColor rgb="00FFC7CE"/>
      <rgbColor rgb="003366FF"/>
      <rgbColor rgb="0033CCCC"/>
      <rgbColor rgb="0099CC00"/>
      <rgbColor rgb="00FFCC00"/>
      <rgbColor rgb="00FF9900"/>
      <rgbColor rgb="00FF6600"/>
      <rgbColor rgb="00595959"/>
      <rgbColor rgb="00969696"/>
      <rgbColor rgb="001F3864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showGridLines="0" tabSelected="1" workbookViewId="0">
      <selection activeCell="A11" sqref="A11"/>
    </sheetView>
  </sheetViews>
  <sheetFormatPr defaultColWidth="8.67592592592593" defaultRowHeight="14.4" outlineLevelCol="5"/>
  <cols>
    <col min="1" max="1" width="44" customWidth="1"/>
    <col min="2" max="2" width="16" customWidth="1"/>
    <col min="3" max="3" width="14" customWidth="1"/>
    <col min="4" max="4" width="4" customWidth="1"/>
    <col min="5" max="5" width="62" customWidth="1"/>
  </cols>
  <sheetData>
    <row r="1" ht="21" spans="1:5">
      <c r="A1" s="1" t="s">
        <v>0</v>
      </c>
    </row>
    <row r="2" spans="1:5">
      <c r="A2" s="12" t="s">
        <v>1</v>
      </c>
    </row>
    <row r="4" spans="1:5">
      <c r="A4" s="2" t="s">
        <v>2</v>
      </c>
    </row>
    <row r="5" ht="30" customHeight="1" spans="1:5">
      <c r="A5" s="3" t="s">
        <v>3</v>
      </c>
      <c r="B5" s="3" t="s">
        <v>4</v>
      </c>
      <c r="C5" s="3" t="s">
        <v>5</v>
      </c>
      <c r="D5" s="3"/>
      <c r="E5" s="3" t="s">
        <v>6</v>
      </c>
    </row>
    <row r="6" spans="1:5">
      <c r="A6" s="46" t="s">
        <v>7</v>
      </c>
      <c r="B6" s="35">
        <f>B7+B9</f>
        <v>816</v>
      </c>
      <c r="C6" s="5" t="s">
        <v>8</v>
      </c>
      <c r="D6" s="47"/>
      <c r="E6" s="48" t="s">
        <v>9</v>
      </c>
    </row>
    <row r="7" spans="1:5">
      <c r="A7" s="49" t="s">
        <v>10</v>
      </c>
      <c r="B7" s="50">
        <v>609</v>
      </c>
      <c r="C7" s="5" t="s">
        <v>8</v>
      </c>
      <c r="D7" s="47"/>
      <c r="E7" s="48" t="s">
        <v>11</v>
      </c>
    </row>
    <row r="8" spans="1:5">
      <c r="A8" s="49" t="s">
        <v>12</v>
      </c>
      <c r="B8" s="50">
        <v>44</v>
      </c>
      <c r="C8" s="5" t="s">
        <v>8</v>
      </c>
      <c r="D8" s="47"/>
      <c r="E8" s="48" t="s">
        <v>13</v>
      </c>
    </row>
    <row r="9" spans="1:5">
      <c r="A9" s="49" t="s">
        <v>14</v>
      </c>
      <c r="B9" s="50">
        <v>207</v>
      </c>
      <c r="C9" s="5" t="s">
        <v>8</v>
      </c>
      <c r="D9" s="47"/>
      <c r="E9" s="48" t="s">
        <v>15</v>
      </c>
    </row>
    <row r="10" spans="1:5">
      <c r="A10" s="46" t="s">
        <v>16</v>
      </c>
      <c r="B10" s="35">
        <f>B7+B8</f>
        <v>653</v>
      </c>
      <c r="C10" s="5" t="s">
        <v>8</v>
      </c>
      <c r="D10" s="47"/>
      <c r="E10" s="48" t="s">
        <v>17</v>
      </c>
    </row>
    <row r="11" spans="1:5">
      <c r="A11" s="46" t="s">
        <v>18</v>
      </c>
      <c r="B11" s="50">
        <v>8</v>
      </c>
      <c r="C11" s="5" t="s">
        <v>19</v>
      </c>
      <c r="D11" s="47"/>
      <c r="E11" s="48" t="s">
        <v>20</v>
      </c>
    </row>
    <row r="12" ht="22.8" spans="1:5">
      <c r="A12" s="46" t="s">
        <v>21</v>
      </c>
      <c r="B12" s="50">
        <v>5.5</v>
      </c>
      <c r="C12" s="5" t="s">
        <v>22</v>
      </c>
      <c r="D12" s="47"/>
      <c r="E12" s="48" t="s">
        <v>23</v>
      </c>
    </row>
    <row r="13" spans="1:5">
      <c r="A13" s="46" t="s">
        <v>24</v>
      </c>
      <c r="B13" s="50">
        <v>8</v>
      </c>
      <c r="C13" s="5" t="s">
        <v>8</v>
      </c>
      <c r="D13" s="47"/>
      <c r="E13" s="48" t="s">
        <v>25</v>
      </c>
    </row>
    <row r="14" spans="1:5">
      <c r="A14" s="46" t="s">
        <v>26</v>
      </c>
      <c r="B14" s="35">
        <f>B12*B13</f>
        <v>44</v>
      </c>
      <c r="C14" s="5" t="s">
        <v>8</v>
      </c>
      <c r="D14" s="47"/>
      <c r="E14" s="48" t="s">
        <v>27</v>
      </c>
    </row>
    <row r="15" spans="1:5">
      <c r="A15" s="46" t="s">
        <v>28</v>
      </c>
      <c r="B15" s="35">
        <f>ROUND(B10/B14,1)</f>
        <v>14.8</v>
      </c>
      <c r="C15" s="5" t="s">
        <v>29</v>
      </c>
      <c r="D15" s="47"/>
      <c r="E15" s="48" t="s">
        <v>30</v>
      </c>
    </row>
    <row r="16" ht="22.8" spans="1:5">
      <c r="A16" s="46" t="s">
        <v>31</v>
      </c>
      <c r="B16" s="35">
        <f>ROUND(B10/10/B13,1)</f>
        <v>8.2</v>
      </c>
      <c r="C16" s="5" t="s">
        <v>22</v>
      </c>
      <c r="D16" s="47"/>
      <c r="E16" s="48" t="s">
        <v>32</v>
      </c>
    </row>
    <row r="17" ht="31.5" customHeight="1" spans="1:6">
      <c r="A17" s="51" t="s">
        <v>33</v>
      </c>
      <c r="B17" s="52" t="str">
        <f>CONCATENATE("R1 scope needs ",ROUND(B10/B14,1)," sprints of dev work. To finish in 10 effective sprints (6 months, after subtracting Christmas/Tet + training) requires ",ROUND(B10/10/B13,1)," dev FTE, i.e. a team of about 11 (Option A). Keeping an 8-person team needs 17 sprints = 8.4 months.")</f>
        <v>R1 scope needs 14.8 sprints of dev work. To finish in 10 effective sprints (6 months, after subtracting Christmas/Tet + training) requires 8.2 dev FTE, i.e. a team of about 11 (Option A). Keeping an 8-person team needs 17 sprints = 8.4 months.</v>
      </c>
      <c r="C17" s="52"/>
      <c r="D17" s="52"/>
      <c r="E17" s="52"/>
    </row>
    <row r="20" spans="1:6">
      <c r="A20" s="2" t="s">
        <v>34</v>
      </c>
    </row>
    <row r="21" ht="30" customHeight="1" spans="1:6">
      <c r="A21" s="3" t="s">
        <v>35</v>
      </c>
      <c r="B21" s="3" t="s">
        <v>36</v>
      </c>
      <c r="C21" s="3" t="s">
        <v>37</v>
      </c>
      <c r="D21" s="3" t="s">
        <v>38</v>
      </c>
      <c r="E21" s="3" t="s">
        <v>39</v>
      </c>
    </row>
    <row r="22" ht="61.5" customHeight="1" spans="1:6">
      <c r="A22" s="53" t="s">
        <v>40</v>
      </c>
      <c r="B22" s="7" t="s">
        <v>41</v>
      </c>
      <c r="C22" s="24" t="s">
        <v>42</v>
      </c>
      <c r="D22" s="5" t="s">
        <v>43</v>
      </c>
      <c r="E22" s="54" t="s">
        <v>44</v>
      </c>
    </row>
    <row r="23" ht="61.5" customHeight="1" spans="1:6">
      <c r="A23" s="55" t="s">
        <v>45</v>
      </c>
      <c r="B23" s="56" t="s">
        <v>46</v>
      </c>
      <c r="C23" s="37" t="s">
        <v>47</v>
      </c>
      <c r="D23" s="42" t="s">
        <v>48</v>
      </c>
      <c r="E23" s="57" t="s">
        <v>49</v>
      </c>
    </row>
    <row r="24" ht="61.5" customHeight="1" spans="1:6">
      <c r="A24" s="53" t="s">
        <v>50</v>
      </c>
      <c r="B24" s="7" t="s">
        <v>51</v>
      </c>
      <c r="C24" s="24" t="s">
        <v>52</v>
      </c>
      <c r="D24" s="5" t="s">
        <v>53</v>
      </c>
      <c r="E24" s="54" t="s">
        <v>54</v>
      </c>
    </row>
    <row r="27" spans="1:6">
      <c r="A27" s="2" t="s">
        <v>55</v>
      </c>
    </row>
    <row r="28" ht="30" customHeight="1" spans="1:6">
      <c r="A28" s="58" t="s">
        <v>56</v>
      </c>
      <c r="B28" s="58"/>
      <c r="C28" s="58"/>
      <c r="D28" s="58"/>
      <c r="E28" s="58"/>
      <c r="F28" s="58"/>
    </row>
    <row r="29" ht="30" customHeight="1" spans="1:6">
      <c r="A29" s="58" t="s">
        <v>57</v>
      </c>
      <c r="B29" s="58"/>
      <c r="C29" s="58"/>
      <c r="D29" s="58"/>
      <c r="E29" s="58"/>
      <c r="F29" s="58"/>
    </row>
    <row r="30" ht="30" customHeight="1" spans="1:6">
      <c r="A30" s="58" t="s">
        <v>58</v>
      </c>
      <c r="B30" s="58"/>
      <c r="C30" s="58"/>
      <c r="D30" s="58"/>
      <c r="E30" s="58"/>
      <c r="F30" s="58"/>
    </row>
    <row r="31" ht="30" customHeight="1" spans="1:6">
      <c r="A31" s="58" t="s">
        <v>59</v>
      </c>
      <c r="B31" s="58"/>
      <c r="C31" s="58"/>
      <c r="D31" s="58"/>
      <c r="E31" s="58"/>
      <c r="F31" s="58"/>
    </row>
    <row r="32" ht="30" customHeight="1" spans="1:6">
      <c r="A32" s="58" t="s">
        <v>60</v>
      </c>
      <c r="B32" s="58"/>
      <c r="C32" s="58"/>
      <c r="D32" s="58"/>
      <c r="E32" s="58"/>
      <c r="F32" s="58"/>
    </row>
    <row r="33" ht="30" customHeight="1" spans="1:6">
      <c r="A33" s="58" t="s">
        <v>61</v>
      </c>
      <c r="B33" s="58"/>
      <c r="C33" s="58"/>
      <c r="D33" s="58"/>
      <c r="E33" s="58"/>
      <c r="F33" s="58"/>
    </row>
    <row r="34" ht="30" customHeight="1" spans="1:6">
      <c r="A34" s="58" t="s">
        <v>62</v>
      </c>
      <c r="B34" s="58"/>
      <c r="C34" s="58"/>
      <c r="D34" s="58"/>
      <c r="E34" s="58"/>
      <c r="F34" s="58"/>
    </row>
  </sheetData>
  <mergeCells count="8">
    <mergeCell ref="B17:E17"/>
    <mergeCell ref="A28:F28"/>
    <mergeCell ref="A29:F29"/>
    <mergeCell ref="A30:F30"/>
    <mergeCell ref="A31:F31"/>
    <mergeCell ref="A32:F32"/>
    <mergeCell ref="A33:F33"/>
    <mergeCell ref="A34:F34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6"/>
  <sheetViews>
    <sheetView showGridLines="0" workbookViewId="0">
      <pane ySplit="1" topLeftCell="A44" activePane="bottomLeft" state="frozen"/>
      <selection/>
      <selection pane="bottomLeft" activeCell="E6" sqref="E6"/>
    </sheetView>
  </sheetViews>
  <sheetFormatPr defaultColWidth="8.67592592592593" defaultRowHeight="14.4"/>
  <cols>
    <col min="1" max="1" width="11" customWidth="1"/>
    <col min="2" max="2" width="7" customWidth="1"/>
    <col min="3" max="3" width="32" customWidth="1"/>
    <col min="4" max="4" width="54" customWidth="1"/>
    <col min="5" max="5" width="13" customWidth="1"/>
    <col min="6" max="6" width="10" customWidth="1"/>
    <col min="7" max="7" width="13" customWidth="1"/>
    <col min="8" max="8" width="8" customWidth="1"/>
    <col min="9" max="9" width="12" customWidth="1"/>
    <col min="10" max="10" width="18" customWidth="1"/>
    <col min="11" max="11" width="50" customWidth="1"/>
  </cols>
  <sheetData>
    <row r="1" ht="30" customHeight="1" spans="1:11">
      <c r="A1" s="3" t="s">
        <v>63</v>
      </c>
      <c r="B1" s="3" t="s">
        <v>64</v>
      </c>
      <c r="C1" s="3" t="s">
        <v>65</v>
      </c>
      <c r="D1" s="3" t="s">
        <v>66</v>
      </c>
      <c r="E1" s="3" t="s">
        <v>67</v>
      </c>
      <c r="F1" s="3" t="s">
        <v>68</v>
      </c>
      <c r="G1" s="3" t="s">
        <v>69</v>
      </c>
      <c r="H1" s="3" t="s">
        <v>70</v>
      </c>
      <c r="I1" s="3" t="s">
        <v>71</v>
      </c>
      <c r="J1" s="3" t="s">
        <v>72</v>
      </c>
      <c r="K1" s="3" t="s">
        <v>73</v>
      </c>
    </row>
    <row r="2" ht="30" customHeight="1" spans="1:11">
      <c r="A2" s="5" t="s">
        <v>74</v>
      </c>
      <c r="B2" s="5" t="s">
        <v>75</v>
      </c>
      <c r="C2" s="7" t="s">
        <v>76</v>
      </c>
      <c r="D2" s="7" t="s">
        <v>77</v>
      </c>
      <c r="E2" s="5" t="s">
        <v>78</v>
      </c>
      <c r="F2" s="20" t="s">
        <v>79</v>
      </c>
      <c r="G2" s="16">
        <v>20</v>
      </c>
      <c r="H2" s="40" t="s">
        <v>80</v>
      </c>
      <c r="I2" s="5" t="s">
        <v>81</v>
      </c>
      <c r="J2" s="7" t="s">
        <v>78</v>
      </c>
      <c r="K2" s="7" t="s">
        <v>82</v>
      </c>
    </row>
    <row r="3" ht="30" customHeight="1" spans="1:11">
      <c r="A3" s="5" t="s">
        <v>83</v>
      </c>
      <c r="B3" s="5" t="s">
        <v>75</v>
      </c>
      <c r="C3" s="7" t="s">
        <v>76</v>
      </c>
      <c r="D3" s="7" t="s">
        <v>84</v>
      </c>
      <c r="E3" s="5" t="s">
        <v>78</v>
      </c>
      <c r="F3" s="20" t="s">
        <v>79</v>
      </c>
      <c r="G3" s="16">
        <v>16</v>
      </c>
      <c r="H3" s="42" t="s">
        <v>85</v>
      </c>
      <c r="I3" s="5" t="s">
        <v>81</v>
      </c>
      <c r="J3" s="7" t="s">
        <v>78</v>
      </c>
      <c r="K3" s="7" t="s">
        <v>86</v>
      </c>
    </row>
    <row r="4" ht="30" customHeight="1" spans="1:11">
      <c r="A4" s="5" t="s">
        <v>87</v>
      </c>
      <c r="B4" s="5" t="s">
        <v>75</v>
      </c>
      <c r="C4" s="7" t="s">
        <v>76</v>
      </c>
      <c r="D4" s="7" t="s">
        <v>88</v>
      </c>
      <c r="E4" s="5" t="s">
        <v>78</v>
      </c>
      <c r="F4" s="20" t="s">
        <v>79</v>
      </c>
      <c r="G4" s="16">
        <v>8</v>
      </c>
      <c r="H4" s="17" t="s">
        <v>89</v>
      </c>
      <c r="I4" s="5" t="s">
        <v>81</v>
      </c>
      <c r="J4" s="7" t="s">
        <v>78</v>
      </c>
      <c r="K4" s="7" t="s">
        <v>90</v>
      </c>
    </row>
    <row r="5" ht="30" customHeight="1" spans="1:11">
      <c r="A5" s="5" t="s">
        <v>91</v>
      </c>
      <c r="B5" s="5" t="s">
        <v>75</v>
      </c>
      <c r="C5" s="7" t="s">
        <v>76</v>
      </c>
      <c r="D5" s="7" t="s">
        <v>92</v>
      </c>
      <c r="E5" s="5" t="s">
        <v>93</v>
      </c>
      <c r="F5" s="20" t="s">
        <v>79</v>
      </c>
      <c r="G5" s="16">
        <v>3</v>
      </c>
      <c r="H5" s="40" t="s">
        <v>80</v>
      </c>
      <c r="I5" s="5" t="s">
        <v>94</v>
      </c>
      <c r="J5" s="7" t="s">
        <v>78</v>
      </c>
      <c r="K5" s="7" t="s">
        <v>95</v>
      </c>
    </row>
    <row r="6" ht="30" customHeight="1" spans="1:11">
      <c r="A6" s="5" t="s">
        <v>96</v>
      </c>
      <c r="B6" s="5" t="s">
        <v>75</v>
      </c>
      <c r="C6" s="7" t="s">
        <v>76</v>
      </c>
      <c r="D6" s="7" t="s">
        <v>97</v>
      </c>
      <c r="E6" s="5" t="s">
        <v>93</v>
      </c>
      <c r="F6" s="20" t="s">
        <v>79</v>
      </c>
      <c r="G6" s="16">
        <v>5</v>
      </c>
      <c r="H6" s="40" t="s">
        <v>80</v>
      </c>
      <c r="I6" s="5" t="s">
        <v>94</v>
      </c>
      <c r="J6" s="7" t="s">
        <v>91</v>
      </c>
      <c r="K6" s="7" t="s">
        <v>98</v>
      </c>
    </row>
    <row r="7" ht="30" customHeight="1" spans="1:11">
      <c r="A7" s="5" t="s">
        <v>99</v>
      </c>
      <c r="B7" s="5" t="s">
        <v>75</v>
      </c>
      <c r="C7" s="7" t="s">
        <v>76</v>
      </c>
      <c r="D7" s="7" t="s">
        <v>100</v>
      </c>
      <c r="E7" s="5" t="s">
        <v>101</v>
      </c>
      <c r="F7" s="20" t="s">
        <v>79</v>
      </c>
      <c r="G7" s="16">
        <v>8</v>
      </c>
      <c r="H7" s="40" t="s">
        <v>80</v>
      </c>
      <c r="I7" s="5" t="s">
        <v>94</v>
      </c>
      <c r="J7" s="7" t="s">
        <v>91</v>
      </c>
      <c r="K7" s="7" t="s">
        <v>102</v>
      </c>
    </row>
    <row r="8" ht="30" customHeight="1" spans="1:11">
      <c r="A8" s="5" t="s">
        <v>103</v>
      </c>
      <c r="B8" s="5" t="s">
        <v>75</v>
      </c>
      <c r="C8" s="7" t="s">
        <v>76</v>
      </c>
      <c r="D8" s="7" t="s">
        <v>104</v>
      </c>
      <c r="E8" s="5" t="s">
        <v>105</v>
      </c>
      <c r="F8" s="20" t="s">
        <v>79</v>
      </c>
      <c r="G8" s="16">
        <v>5</v>
      </c>
      <c r="H8" s="40" t="s">
        <v>80</v>
      </c>
      <c r="I8" s="5" t="s">
        <v>106</v>
      </c>
      <c r="J8" s="7" t="s">
        <v>96</v>
      </c>
      <c r="K8" s="7" t="s">
        <v>107</v>
      </c>
    </row>
    <row r="9" ht="30" customHeight="1" spans="1:11">
      <c r="A9" s="5" t="s">
        <v>108</v>
      </c>
      <c r="B9" s="5" t="s">
        <v>75</v>
      </c>
      <c r="C9" s="7" t="s">
        <v>76</v>
      </c>
      <c r="D9" s="7" t="s">
        <v>109</v>
      </c>
      <c r="E9" s="5" t="s">
        <v>110</v>
      </c>
      <c r="F9" s="20" t="s">
        <v>79</v>
      </c>
      <c r="G9" s="16">
        <v>9</v>
      </c>
      <c r="H9" s="40" t="s">
        <v>80</v>
      </c>
      <c r="I9" s="5" t="s">
        <v>106</v>
      </c>
      <c r="J9" s="7" t="s">
        <v>96</v>
      </c>
      <c r="K9" s="7" t="s">
        <v>111</v>
      </c>
    </row>
    <row r="10" ht="30" customHeight="1" spans="1:11">
      <c r="A10" s="5" t="s">
        <v>112</v>
      </c>
      <c r="B10" s="5" t="s">
        <v>75</v>
      </c>
      <c r="C10" s="7" t="s">
        <v>76</v>
      </c>
      <c r="D10" s="7" t="s">
        <v>113</v>
      </c>
      <c r="E10" s="5" t="s">
        <v>114</v>
      </c>
      <c r="F10" s="20" t="s">
        <v>79</v>
      </c>
      <c r="G10" s="16">
        <v>5</v>
      </c>
      <c r="H10" s="40" t="s">
        <v>80</v>
      </c>
      <c r="I10" s="5" t="s">
        <v>106</v>
      </c>
      <c r="J10" s="7" t="s">
        <v>99</v>
      </c>
      <c r="K10" s="7" t="s">
        <v>115</v>
      </c>
    </row>
    <row r="11" ht="30" customHeight="1" spans="1:11">
      <c r="A11" s="5" t="s">
        <v>116</v>
      </c>
      <c r="B11" s="5" t="s">
        <v>117</v>
      </c>
      <c r="C11" s="7" t="s">
        <v>118</v>
      </c>
      <c r="D11" s="7" t="s">
        <v>119</v>
      </c>
      <c r="E11" s="5" t="s">
        <v>78</v>
      </c>
      <c r="F11" s="20" t="s">
        <v>79</v>
      </c>
      <c r="G11" s="16">
        <v>12</v>
      </c>
      <c r="H11" s="17" t="s">
        <v>89</v>
      </c>
      <c r="I11" s="5" t="s">
        <v>120</v>
      </c>
      <c r="J11" s="7" t="s">
        <v>103</v>
      </c>
      <c r="K11" s="7" t="s">
        <v>121</v>
      </c>
    </row>
    <row r="12" ht="30" customHeight="1" spans="1:11">
      <c r="A12" s="5" t="s">
        <v>122</v>
      </c>
      <c r="B12" s="5" t="s">
        <v>75</v>
      </c>
      <c r="C12" s="7" t="s">
        <v>76</v>
      </c>
      <c r="D12" s="7" t="s">
        <v>123</v>
      </c>
      <c r="E12" s="5" t="s">
        <v>124</v>
      </c>
      <c r="F12" s="20" t="s">
        <v>79</v>
      </c>
      <c r="G12" s="16">
        <v>4</v>
      </c>
      <c r="H12" s="40" t="s">
        <v>80</v>
      </c>
      <c r="I12" s="5" t="s">
        <v>125</v>
      </c>
      <c r="J12" s="7" t="s">
        <v>112</v>
      </c>
      <c r="K12" s="7" t="s">
        <v>126</v>
      </c>
    </row>
    <row r="13" ht="30" customHeight="1" spans="1:11">
      <c r="A13" s="5" t="s">
        <v>127</v>
      </c>
      <c r="B13" s="5" t="s">
        <v>75</v>
      </c>
      <c r="C13" s="7" t="s">
        <v>76</v>
      </c>
      <c r="D13" s="7" t="s">
        <v>128</v>
      </c>
      <c r="E13" s="5" t="s">
        <v>129</v>
      </c>
      <c r="F13" s="20" t="s">
        <v>79</v>
      </c>
      <c r="G13" s="16">
        <v>3</v>
      </c>
      <c r="H13" s="40" t="s">
        <v>80</v>
      </c>
      <c r="I13" s="5" t="s">
        <v>125</v>
      </c>
      <c r="J13" s="7" t="s">
        <v>96</v>
      </c>
      <c r="K13" s="7" t="s">
        <v>130</v>
      </c>
    </row>
    <row r="14" ht="30" customHeight="1" spans="1:11">
      <c r="A14" s="5" t="s">
        <v>131</v>
      </c>
      <c r="B14" s="5" t="s">
        <v>132</v>
      </c>
      <c r="C14" s="7" t="s">
        <v>133</v>
      </c>
      <c r="D14" s="7" t="s">
        <v>134</v>
      </c>
      <c r="E14" s="5" t="s">
        <v>135</v>
      </c>
      <c r="F14" s="20" t="s">
        <v>79</v>
      </c>
      <c r="G14" s="16">
        <v>10</v>
      </c>
      <c r="H14" s="40" t="s">
        <v>80</v>
      </c>
      <c r="I14" s="5" t="s">
        <v>125</v>
      </c>
      <c r="J14" s="7" t="s">
        <v>127</v>
      </c>
      <c r="K14" s="7" t="s">
        <v>136</v>
      </c>
    </row>
    <row r="15" ht="30" customHeight="1" spans="1:11">
      <c r="A15" s="5" t="s">
        <v>137</v>
      </c>
      <c r="B15" s="5" t="s">
        <v>138</v>
      </c>
      <c r="C15" s="7" t="s">
        <v>139</v>
      </c>
      <c r="D15" s="7" t="s">
        <v>140</v>
      </c>
      <c r="E15" s="5" t="s">
        <v>141</v>
      </c>
      <c r="F15" s="20" t="s">
        <v>79</v>
      </c>
      <c r="G15" s="16">
        <v>9</v>
      </c>
      <c r="H15" s="42" t="s">
        <v>85</v>
      </c>
      <c r="I15" s="5" t="s">
        <v>125</v>
      </c>
      <c r="J15" s="7" t="s">
        <v>108</v>
      </c>
      <c r="K15" s="7" t="s">
        <v>142</v>
      </c>
    </row>
    <row r="16" ht="30" customHeight="1" spans="1:11">
      <c r="A16" s="5" t="s">
        <v>143</v>
      </c>
      <c r="B16" s="5" t="s">
        <v>138</v>
      </c>
      <c r="C16" s="7" t="s">
        <v>139</v>
      </c>
      <c r="D16" s="7" t="s">
        <v>144</v>
      </c>
      <c r="E16" s="5" t="s">
        <v>145</v>
      </c>
      <c r="F16" s="20" t="s">
        <v>79</v>
      </c>
      <c r="G16" s="16">
        <v>6</v>
      </c>
      <c r="H16" s="42" t="s">
        <v>85</v>
      </c>
      <c r="I16" s="5" t="s">
        <v>125</v>
      </c>
      <c r="J16" s="7" t="s">
        <v>137</v>
      </c>
      <c r="K16" s="7" t="s">
        <v>146</v>
      </c>
    </row>
    <row r="17" ht="30" customHeight="1" spans="1:11">
      <c r="A17" s="5" t="s">
        <v>147</v>
      </c>
      <c r="B17" s="5" t="s">
        <v>148</v>
      </c>
      <c r="C17" s="7" t="s">
        <v>149</v>
      </c>
      <c r="D17" s="7" t="s">
        <v>150</v>
      </c>
      <c r="E17" s="5" t="s">
        <v>151</v>
      </c>
      <c r="F17" s="20" t="s">
        <v>79</v>
      </c>
      <c r="G17" s="16">
        <v>10</v>
      </c>
      <c r="H17" s="43" t="s">
        <v>152</v>
      </c>
      <c r="I17" s="5" t="s">
        <v>153</v>
      </c>
      <c r="J17" s="7" t="s">
        <v>99</v>
      </c>
      <c r="K17" s="7" t="s">
        <v>154</v>
      </c>
    </row>
    <row r="18" ht="30" customHeight="1" spans="1:11">
      <c r="A18" s="5" t="s">
        <v>155</v>
      </c>
      <c r="B18" s="5" t="s">
        <v>132</v>
      </c>
      <c r="C18" s="7" t="s">
        <v>133</v>
      </c>
      <c r="D18" s="7" t="s">
        <v>156</v>
      </c>
      <c r="E18" s="5" t="s">
        <v>105</v>
      </c>
      <c r="F18" s="20" t="s">
        <v>79</v>
      </c>
      <c r="G18" s="16">
        <v>12</v>
      </c>
      <c r="H18" s="40" t="s">
        <v>80</v>
      </c>
      <c r="I18" s="5" t="s">
        <v>157</v>
      </c>
      <c r="J18" s="7" t="s">
        <v>131</v>
      </c>
      <c r="K18" s="7" t="s">
        <v>158</v>
      </c>
    </row>
    <row r="19" ht="30" customHeight="1" spans="1:11">
      <c r="A19" s="5" t="s">
        <v>159</v>
      </c>
      <c r="B19" s="5" t="s">
        <v>132</v>
      </c>
      <c r="C19" s="7" t="s">
        <v>133</v>
      </c>
      <c r="D19" s="7" t="s">
        <v>160</v>
      </c>
      <c r="E19" s="5" t="s">
        <v>161</v>
      </c>
      <c r="F19" s="20" t="s">
        <v>79</v>
      </c>
      <c r="G19" s="16">
        <v>4</v>
      </c>
      <c r="H19" s="40" t="s">
        <v>80</v>
      </c>
      <c r="I19" s="5" t="s">
        <v>157</v>
      </c>
      <c r="J19" s="7" t="s">
        <v>155</v>
      </c>
      <c r="K19" s="7" t="s">
        <v>162</v>
      </c>
    </row>
    <row r="20" ht="30" customHeight="1" spans="1:11">
      <c r="A20" s="5" t="s">
        <v>163</v>
      </c>
      <c r="B20" s="5" t="s">
        <v>138</v>
      </c>
      <c r="C20" s="7" t="s">
        <v>139</v>
      </c>
      <c r="D20" s="7" t="s">
        <v>164</v>
      </c>
      <c r="E20" s="5" t="s">
        <v>145</v>
      </c>
      <c r="F20" s="20" t="s">
        <v>79</v>
      </c>
      <c r="G20" s="16">
        <v>4</v>
      </c>
      <c r="H20" s="42" t="s">
        <v>85</v>
      </c>
      <c r="I20" s="5" t="s">
        <v>157</v>
      </c>
      <c r="J20" s="7" t="s">
        <v>143</v>
      </c>
      <c r="K20" s="7" t="s">
        <v>165</v>
      </c>
    </row>
    <row r="21" ht="30" customHeight="1" spans="1:11">
      <c r="A21" s="5" t="s">
        <v>166</v>
      </c>
      <c r="B21" s="5" t="s">
        <v>138</v>
      </c>
      <c r="C21" s="7" t="s">
        <v>139</v>
      </c>
      <c r="D21" s="7" t="s">
        <v>167</v>
      </c>
      <c r="E21" s="5" t="s">
        <v>168</v>
      </c>
      <c r="F21" s="20" t="s">
        <v>79</v>
      </c>
      <c r="G21" s="16">
        <v>3</v>
      </c>
      <c r="H21" s="42" t="s">
        <v>85</v>
      </c>
      <c r="I21" s="5" t="s">
        <v>157</v>
      </c>
      <c r="J21" s="7" t="s">
        <v>108</v>
      </c>
      <c r="K21" s="7" t="s">
        <v>169</v>
      </c>
    </row>
    <row r="22" ht="30" customHeight="1" spans="1:11">
      <c r="A22" s="5" t="s">
        <v>170</v>
      </c>
      <c r="B22" s="5" t="s">
        <v>171</v>
      </c>
      <c r="C22" s="7" t="s">
        <v>172</v>
      </c>
      <c r="D22" s="7" t="s">
        <v>173</v>
      </c>
      <c r="E22" s="5" t="s">
        <v>174</v>
      </c>
      <c r="F22" s="20" t="s">
        <v>79</v>
      </c>
      <c r="G22" s="16">
        <v>8</v>
      </c>
      <c r="H22" s="42" t="s">
        <v>85</v>
      </c>
      <c r="I22" s="5" t="s">
        <v>157</v>
      </c>
      <c r="J22" s="7" t="s">
        <v>127</v>
      </c>
      <c r="K22" s="7" t="s">
        <v>175</v>
      </c>
    </row>
    <row r="23" ht="30" customHeight="1" spans="1:11">
      <c r="A23" s="5" t="s">
        <v>176</v>
      </c>
      <c r="B23" s="5" t="s">
        <v>117</v>
      </c>
      <c r="C23" s="7" t="s">
        <v>118</v>
      </c>
      <c r="D23" s="7" t="s">
        <v>177</v>
      </c>
      <c r="E23" s="5" t="s">
        <v>78</v>
      </c>
      <c r="F23" s="20" t="s">
        <v>79</v>
      </c>
      <c r="G23" s="16">
        <v>8</v>
      </c>
      <c r="H23" s="17" t="s">
        <v>89</v>
      </c>
      <c r="I23" s="5" t="s">
        <v>157</v>
      </c>
      <c r="J23" s="7" t="s">
        <v>155</v>
      </c>
      <c r="K23" s="7" t="s">
        <v>178</v>
      </c>
    </row>
    <row r="24" ht="30" customHeight="1" spans="1:11">
      <c r="A24" s="5" t="s">
        <v>179</v>
      </c>
      <c r="B24" s="5" t="s">
        <v>132</v>
      </c>
      <c r="C24" s="7" t="s">
        <v>133</v>
      </c>
      <c r="D24" s="7" t="s">
        <v>180</v>
      </c>
      <c r="E24" s="5" t="s">
        <v>135</v>
      </c>
      <c r="F24" s="20" t="s">
        <v>79</v>
      </c>
      <c r="G24" s="16">
        <v>5</v>
      </c>
      <c r="H24" s="40" t="s">
        <v>80</v>
      </c>
      <c r="I24" s="5" t="s">
        <v>181</v>
      </c>
      <c r="J24" s="7" t="s">
        <v>182</v>
      </c>
      <c r="K24" s="7" t="s">
        <v>183</v>
      </c>
    </row>
    <row r="25" ht="30" customHeight="1" spans="1:11">
      <c r="A25" s="5" t="s">
        <v>184</v>
      </c>
      <c r="B25" s="5" t="s">
        <v>132</v>
      </c>
      <c r="C25" s="7" t="s">
        <v>133</v>
      </c>
      <c r="D25" s="7" t="s">
        <v>185</v>
      </c>
      <c r="E25" s="5" t="s">
        <v>135</v>
      </c>
      <c r="F25" s="20" t="s">
        <v>79</v>
      </c>
      <c r="G25" s="16">
        <v>3</v>
      </c>
      <c r="H25" s="40" t="s">
        <v>80</v>
      </c>
      <c r="I25" s="5" t="s">
        <v>181</v>
      </c>
      <c r="J25" s="7" t="s">
        <v>155</v>
      </c>
      <c r="K25" s="7" t="s">
        <v>186</v>
      </c>
    </row>
    <row r="26" ht="30" customHeight="1" spans="1:11">
      <c r="A26" s="5" t="s">
        <v>187</v>
      </c>
      <c r="B26" s="5" t="s">
        <v>132</v>
      </c>
      <c r="C26" s="7" t="s">
        <v>133</v>
      </c>
      <c r="D26" s="7" t="s">
        <v>188</v>
      </c>
      <c r="E26" s="5" t="s">
        <v>110</v>
      </c>
      <c r="F26" s="20" t="s">
        <v>79</v>
      </c>
      <c r="G26" s="16">
        <v>5</v>
      </c>
      <c r="H26" s="40" t="s">
        <v>80</v>
      </c>
      <c r="I26" s="5" t="s">
        <v>181</v>
      </c>
      <c r="J26" s="7" t="s">
        <v>108</v>
      </c>
      <c r="K26" s="7" t="s">
        <v>189</v>
      </c>
    </row>
    <row r="27" ht="30" customHeight="1" spans="1:11">
      <c r="A27" s="5" t="s">
        <v>190</v>
      </c>
      <c r="B27" s="5" t="s">
        <v>191</v>
      </c>
      <c r="C27" s="7" t="s">
        <v>192</v>
      </c>
      <c r="D27" s="7" t="s">
        <v>193</v>
      </c>
      <c r="E27" s="5" t="s">
        <v>194</v>
      </c>
      <c r="F27" s="20" t="s">
        <v>79</v>
      </c>
      <c r="G27" s="16">
        <v>10</v>
      </c>
      <c r="H27" s="40" t="s">
        <v>80</v>
      </c>
      <c r="I27" s="5" t="s">
        <v>195</v>
      </c>
      <c r="J27" s="7" t="s">
        <v>127</v>
      </c>
      <c r="K27" s="7" t="s">
        <v>196</v>
      </c>
    </row>
    <row r="28" ht="30" customHeight="1" spans="1:11">
      <c r="A28" s="5" t="s">
        <v>197</v>
      </c>
      <c r="B28" s="5" t="s">
        <v>171</v>
      </c>
      <c r="C28" s="7" t="s">
        <v>172</v>
      </c>
      <c r="D28" s="7" t="s">
        <v>198</v>
      </c>
      <c r="E28" s="5" t="s">
        <v>174</v>
      </c>
      <c r="F28" s="20" t="s">
        <v>79</v>
      </c>
      <c r="G28" s="16">
        <v>12</v>
      </c>
      <c r="H28" s="42" t="s">
        <v>85</v>
      </c>
      <c r="I28" s="5" t="s">
        <v>181</v>
      </c>
      <c r="J28" s="7" t="s">
        <v>170</v>
      </c>
      <c r="K28" s="7" t="s">
        <v>199</v>
      </c>
    </row>
    <row r="29" ht="30" customHeight="1" spans="1:11">
      <c r="A29" s="5" t="s">
        <v>200</v>
      </c>
      <c r="B29" s="5" t="s">
        <v>171</v>
      </c>
      <c r="C29" s="7" t="s">
        <v>172</v>
      </c>
      <c r="D29" s="7" t="s">
        <v>201</v>
      </c>
      <c r="E29" s="5" t="s">
        <v>174</v>
      </c>
      <c r="F29" s="20" t="s">
        <v>79</v>
      </c>
      <c r="G29" s="16">
        <v>4</v>
      </c>
      <c r="H29" s="42" t="s">
        <v>85</v>
      </c>
      <c r="I29" s="5" t="s">
        <v>181</v>
      </c>
      <c r="J29" s="7" t="s">
        <v>170</v>
      </c>
      <c r="K29" s="7" t="s">
        <v>202</v>
      </c>
    </row>
    <row r="30" ht="30" customHeight="1" spans="1:11">
      <c r="A30" s="5" t="s">
        <v>203</v>
      </c>
      <c r="B30" s="5" t="s">
        <v>117</v>
      </c>
      <c r="C30" s="7" t="s">
        <v>118</v>
      </c>
      <c r="D30" s="7" t="s">
        <v>204</v>
      </c>
      <c r="E30" s="5" t="s">
        <v>78</v>
      </c>
      <c r="F30" s="20" t="s">
        <v>79</v>
      </c>
      <c r="G30" s="16">
        <v>14</v>
      </c>
      <c r="H30" s="17" t="s">
        <v>89</v>
      </c>
      <c r="I30" s="5" t="s">
        <v>195</v>
      </c>
      <c r="J30" s="7" t="s">
        <v>205</v>
      </c>
      <c r="K30" s="7" t="s">
        <v>206</v>
      </c>
    </row>
    <row r="31" ht="30" customHeight="1" spans="1:11">
      <c r="A31" s="5" t="s">
        <v>207</v>
      </c>
      <c r="B31" s="5" t="s">
        <v>191</v>
      </c>
      <c r="C31" s="7" t="s">
        <v>192</v>
      </c>
      <c r="D31" s="7" t="s">
        <v>208</v>
      </c>
      <c r="E31" s="5" t="s">
        <v>209</v>
      </c>
      <c r="F31" s="20" t="s">
        <v>79</v>
      </c>
      <c r="G31" s="16">
        <v>6</v>
      </c>
      <c r="H31" s="40" t="s">
        <v>80</v>
      </c>
      <c r="I31" s="5" t="s">
        <v>210</v>
      </c>
      <c r="J31" s="7" t="s">
        <v>190</v>
      </c>
      <c r="K31" s="7" t="s">
        <v>211</v>
      </c>
    </row>
    <row r="32" ht="30" customHeight="1" spans="1:11">
      <c r="A32" s="5" t="s">
        <v>212</v>
      </c>
      <c r="B32" s="5" t="s">
        <v>191</v>
      </c>
      <c r="C32" s="7" t="s">
        <v>192</v>
      </c>
      <c r="D32" s="7" t="s">
        <v>213</v>
      </c>
      <c r="E32" s="5" t="s">
        <v>214</v>
      </c>
      <c r="F32" s="20" t="s">
        <v>79</v>
      </c>
      <c r="G32" s="16">
        <v>8</v>
      </c>
      <c r="H32" s="40" t="s">
        <v>80</v>
      </c>
      <c r="I32" s="5" t="s">
        <v>215</v>
      </c>
      <c r="J32" s="7" t="s">
        <v>207</v>
      </c>
      <c r="K32" s="7" t="s">
        <v>216</v>
      </c>
    </row>
    <row r="33" ht="30" customHeight="1" spans="1:11">
      <c r="A33" s="5" t="s">
        <v>217</v>
      </c>
      <c r="B33" s="5" t="s">
        <v>191</v>
      </c>
      <c r="C33" s="7" t="s">
        <v>192</v>
      </c>
      <c r="D33" s="7" t="s">
        <v>218</v>
      </c>
      <c r="E33" s="5" t="s">
        <v>174</v>
      </c>
      <c r="F33" s="20" t="s">
        <v>79</v>
      </c>
      <c r="G33" s="16">
        <v>3</v>
      </c>
      <c r="H33" s="40" t="s">
        <v>80</v>
      </c>
      <c r="I33" s="5" t="s">
        <v>210</v>
      </c>
      <c r="J33" s="7" t="s">
        <v>190</v>
      </c>
      <c r="K33" s="7" t="s">
        <v>219</v>
      </c>
    </row>
    <row r="34" ht="30" customHeight="1" spans="1:11">
      <c r="A34" s="5" t="s">
        <v>220</v>
      </c>
      <c r="B34" s="5" t="s">
        <v>221</v>
      </c>
      <c r="C34" s="7" t="s">
        <v>222</v>
      </c>
      <c r="D34" s="7" t="s">
        <v>223</v>
      </c>
      <c r="E34" s="5" t="s">
        <v>224</v>
      </c>
      <c r="F34" s="20" t="s">
        <v>79</v>
      </c>
      <c r="G34" s="16">
        <v>10</v>
      </c>
      <c r="H34" s="42" t="s">
        <v>85</v>
      </c>
      <c r="I34" s="5" t="s">
        <v>215</v>
      </c>
      <c r="J34" s="7" t="s">
        <v>190</v>
      </c>
      <c r="K34" s="7" t="s">
        <v>225</v>
      </c>
    </row>
    <row r="35" ht="30" customHeight="1" spans="1:11">
      <c r="A35" s="5" t="s">
        <v>226</v>
      </c>
      <c r="B35" s="5" t="s">
        <v>171</v>
      </c>
      <c r="C35" s="7" t="s">
        <v>172</v>
      </c>
      <c r="D35" s="7" t="s">
        <v>227</v>
      </c>
      <c r="E35" s="5" t="s">
        <v>174</v>
      </c>
      <c r="F35" s="20" t="s">
        <v>79</v>
      </c>
      <c r="G35" s="16">
        <v>7</v>
      </c>
      <c r="H35" s="42" t="s">
        <v>85</v>
      </c>
      <c r="I35" s="5" t="s">
        <v>210</v>
      </c>
      <c r="J35" s="7" t="s">
        <v>197</v>
      </c>
      <c r="K35" s="7" t="s">
        <v>228</v>
      </c>
    </row>
    <row r="36" ht="30" customHeight="1" spans="1:11">
      <c r="A36" s="5" t="s">
        <v>229</v>
      </c>
      <c r="B36" s="5" t="s">
        <v>171</v>
      </c>
      <c r="C36" s="7" t="s">
        <v>172</v>
      </c>
      <c r="D36" s="7" t="s">
        <v>230</v>
      </c>
      <c r="E36" s="5" t="s">
        <v>174</v>
      </c>
      <c r="F36" s="20" t="s">
        <v>79</v>
      </c>
      <c r="G36" s="16">
        <v>5</v>
      </c>
      <c r="H36" s="42" t="s">
        <v>85</v>
      </c>
      <c r="I36" s="5" t="s">
        <v>210</v>
      </c>
      <c r="J36" s="7" t="s">
        <v>200</v>
      </c>
      <c r="K36" s="7" t="s">
        <v>231</v>
      </c>
    </row>
    <row r="37" ht="30" customHeight="1" spans="1:11">
      <c r="A37" s="5" t="s">
        <v>232</v>
      </c>
      <c r="B37" s="5" t="s">
        <v>191</v>
      </c>
      <c r="C37" s="7" t="s">
        <v>192</v>
      </c>
      <c r="D37" s="7" t="s">
        <v>233</v>
      </c>
      <c r="E37" s="5" t="s">
        <v>110</v>
      </c>
      <c r="F37" s="20" t="s">
        <v>79</v>
      </c>
      <c r="G37" s="16">
        <v>3</v>
      </c>
      <c r="H37" s="40" t="s">
        <v>80</v>
      </c>
      <c r="I37" s="5" t="s">
        <v>234</v>
      </c>
      <c r="J37" s="7" t="s">
        <v>108</v>
      </c>
      <c r="K37" s="7" t="s">
        <v>235</v>
      </c>
    </row>
    <row r="38" ht="30" customHeight="1" spans="1:11">
      <c r="A38" s="5" t="s">
        <v>236</v>
      </c>
      <c r="B38" s="5" t="s">
        <v>237</v>
      </c>
      <c r="C38" s="7" t="s">
        <v>238</v>
      </c>
      <c r="D38" s="7" t="s">
        <v>239</v>
      </c>
      <c r="E38" s="5" t="s">
        <v>240</v>
      </c>
      <c r="F38" s="20" t="s">
        <v>79</v>
      </c>
      <c r="G38" s="16">
        <v>12</v>
      </c>
      <c r="H38" s="40" t="s">
        <v>80</v>
      </c>
      <c r="I38" s="5" t="s">
        <v>234</v>
      </c>
      <c r="J38" s="7" t="s">
        <v>190</v>
      </c>
      <c r="K38" s="7" t="s">
        <v>241</v>
      </c>
    </row>
    <row r="39" ht="30" customHeight="1" spans="1:11">
      <c r="A39" s="5" t="s">
        <v>242</v>
      </c>
      <c r="B39" s="5" t="s">
        <v>221</v>
      </c>
      <c r="C39" s="7" t="s">
        <v>222</v>
      </c>
      <c r="D39" s="7" t="s">
        <v>243</v>
      </c>
      <c r="E39" s="5" t="s">
        <v>224</v>
      </c>
      <c r="F39" s="20" t="s">
        <v>79</v>
      </c>
      <c r="G39" s="16">
        <v>5</v>
      </c>
      <c r="H39" s="42" t="s">
        <v>85</v>
      </c>
      <c r="I39" s="5" t="s">
        <v>234</v>
      </c>
      <c r="J39" s="7" t="s">
        <v>220</v>
      </c>
      <c r="K39" s="7" t="s">
        <v>244</v>
      </c>
    </row>
    <row r="40" ht="30" customHeight="1" spans="1:11">
      <c r="A40" s="5" t="s">
        <v>245</v>
      </c>
      <c r="B40" s="5" t="s">
        <v>221</v>
      </c>
      <c r="C40" s="7" t="s">
        <v>222</v>
      </c>
      <c r="D40" s="7" t="s">
        <v>246</v>
      </c>
      <c r="E40" s="5" t="s">
        <v>224</v>
      </c>
      <c r="F40" s="20" t="s">
        <v>79</v>
      </c>
      <c r="G40" s="16">
        <v>12</v>
      </c>
      <c r="H40" s="42" t="s">
        <v>85</v>
      </c>
      <c r="I40" s="5" t="s">
        <v>247</v>
      </c>
      <c r="J40" s="7" t="s">
        <v>220</v>
      </c>
      <c r="K40" s="7" t="s">
        <v>248</v>
      </c>
    </row>
    <row r="41" ht="30" customHeight="1" spans="1:11">
      <c r="A41" s="5" t="s">
        <v>249</v>
      </c>
      <c r="B41" s="5" t="s">
        <v>117</v>
      </c>
      <c r="C41" s="7" t="s">
        <v>118</v>
      </c>
      <c r="D41" s="7" t="s">
        <v>250</v>
      </c>
      <c r="E41" s="5" t="s">
        <v>78</v>
      </c>
      <c r="F41" s="20" t="s">
        <v>79</v>
      </c>
      <c r="G41" s="16">
        <v>6</v>
      </c>
      <c r="H41" s="17" t="s">
        <v>89</v>
      </c>
      <c r="I41" s="5" t="s">
        <v>234</v>
      </c>
      <c r="J41" s="7" t="s">
        <v>131</v>
      </c>
      <c r="K41" s="7" t="s">
        <v>251</v>
      </c>
    </row>
    <row r="42" ht="30" customHeight="1" spans="1:11">
      <c r="A42" s="5" t="s">
        <v>252</v>
      </c>
      <c r="B42" s="5" t="s">
        <v>237</v>
      </c>
      <c r="C42" s="7" t="s">
        <v>238</v>
      </c>
      <c r="D42" s="7" t="s">
        <v>253</v>
      </c>
      <c r="E42" s="5" t="s">
        <v>240</v>
      </c>
      <c r="F42" s="20" t="s">
        <v>79</v>
      </c>
      <c r="G42" s="16">
        <v>8</v>
      </c>
      <c r="H42" s="40" t="s">
        <v>80</v>
      </c>
      <c r="I42" s="5" t="s">
        <v>254</v>
      </c>
      <c r="J42" s="7" t="s">
        <v>236</v>
      </c>
      <c r="K42" s="7" t="s">
        <v>255</v>
      </c>
    </row>
    <row r="43" ht="30" customHeight="1" spans="1:11">
      <c r="A43" s="5" t="s">
        <v>256</v>
      </c>
      <c r="B43" s="5" t="s">
        <v>237</v>
      </c>
      <c r="C43" s="7" t="s">
        <v>238</v>
      </c>
      <c r="D43" s="7" t="s">
        <v>257</v>
      </c>
      <c r="E43" s="5" t="s">
        <v>240</v>
      </c>
      <c r="F43" s="20" t="s">
        <v>79</v>
      </c>
      <c r="G43" s="16">
        <v>10</v>
      </c>
      <c r="H43" s="40" t="s">
        <v>80</v>
      </c>
      <c r="I43" s="5" t="s">
        <v>258</v>
      </c>
      <c r="J43" s="7" t="s">
        <v>252</v>
      </c>
      <c r="K43" s="7" t="s">
        <v>259</v>
      </c>
    </row>
    <row r="44" ht="30" customHeight="1" spans="1:11">
      <c r="A44" s="5" t="s">
        <v>260</v>
      </c>
      <c r="B44" s="5" t="s">
        <v>221</v>
      </c>
      <c r="C44" s="7" t="s">
        <v>222</v>
      </c>
      <c r="D44" s="7" t="s">
        <v>261</v>
      </c>
      <c r="E44" s="5" t="s">
        <v>224</v>
      </c>
      <c r="F44" s="20" t="s">
        <v>79</v>
      </c>
      <c r="G44" s="16">
        <v>5</v>
      </c>
      <c r="H44" s="42" t="s">
        <v>85</v>
      </c>
      <c r="I44" s="5" t="s">
        <v>254</v>
      </c>
      <c r="J44" s="7" t="s">
        <v>245</v>
      </c>
      <c r="K44" s="7" t="s">
        <v>262</v>
      </c>
    </row>
    <row r="45" ht="30" customHeight="1" spans="1:11">
      <c r="A45" s="5" t="s">
        <v>263</v>
      </c>
      <c r="B45" s="5" t="s">
        <v>117</v>
      </c>
      <c r="C45" s="7" t="s">
        <v>118</v>
      </c>
      <c r="D45" s="7" t="s">
        <v>264</v>
      </c>
      <c r="E45" s="5" t="s">
        <v>78</v>
      </c>
      <c r="F45" s="20" t="s">
        <v>79</v>
      </c>
      <c r="G45" s="16">
        <v>8</v>
      </c>
      <c r="H45" s="17" t="s">
        <v>89</v>
      </c>
      <c r="I45" s="5" t="s">
        <v>258</v>
      </c>
      <c r="J45" s="7" t="s">
        <v>190</v>
      </c>
      <c r="K45" s="7" t="s">
        <v>265</v>
      </c>
    </row>
    <row r="46" ht="30" customHeight="1" spans="1:11">
      <c r="A46" s="5" t="s">
        <v>266</v>
      </c>
      <c r="B46" s="5" t="s">
        <v>237</v>
      </c>
      <c r="C46" s="7" t="s">
        <v>238</v>
      </c>
      <c r="D46" s="7" t="s">
        <v>267</v>
      </c>
      <c r="E46" s="5" t="s">
        <v>240</v>
      </c>
      <c r="F46" s="20" t="s">
        <v>79</v>
      </c>
      <c r="G46" s="16">
        <v>5</v>
      </c>
      <c r="H46" s="40" t="s">
        <v>80</v>
      </c>
      <c r="I46" s="5" t="s">
        <v>268</v>
      </c>
      <c r="J46" s="7" t="s">
        <v>256</v>
      </c>
      <c r="K46" s="7" t="s">
        <v>269</v>
      </c>
    </row>
    <row r="47" ht="30" customHeight="1" spans="1:11">
      <c r="A47" s="5" t="s">
        <v>270</v>
      </c>
      <c r="B47" s="5" t="s">
        <v>237</v>
      </c>
      <c r="C47" s="7" t="s">
        <v>238</v>
      </c>
      <c r="D47" s="7" t="s">
        <v>271</v>
      </c>
      <c r="E47" s="5" t="s">
        <v>272</v>
      </c>
      <c r="F47" s="20" t="s">
        <v>79</v>
      </c>
      <c r="G47" s="16">
        <v>14</v>
      </c>
      <c r="H47" s="40" t="s">
        <v>80</v>
      </c>
      <c r="I47" s="5" t="s">
        <v>273</v>
      </c>
      <c r="J47" s="7" t="s">
        <v>274</v>
      </c>
      <c r="K47" s="7" t="s">
        <v>275</v>
      </c>
    </row>
    <row r="48" ht="30" customHeight="1" spans="1:11">
      <c r="A48" s="5" t="s">
        <v>276</v>
      </c>
      <c r="B48" s="5" t="s">
        <v>221</v>
      </c>
      <c r="C48" s="7" t="s">
        <v>222</v>
      </c>
      <c r="D48" s="7" t="s">
        <v>277</v>
      </c>
      <c r="E48" s="5" t="s">
        <v>224</v>
      </c>
      <c r="F48" s="20" t="s">
        <v>79</v>
      </c>
      <c r="G48" s="16">
        <v>2</v>
      </c>
      <c r="H48" s="42" t="s">
        <v>85</v>
      </c>
      <c r="I48" s="5" t="s">
        <v>268</v>
      </c>
      <c r="J48" s="7" t="s">
        <v>260</v>
      </c>
      <c r="K48" s="7" t="s">
        <v>278</v>
      </c>
    </row>
    <row r="49" ht="30" customHeight="1" spans="1:11">
      <c r="A49" s="5" t="s">
        <v>279</v>
      </c>
      <c r="B49" s="5" t="s">
        <v>280</v>
      </c>
      <c r="C49" s="7" t="s">
        <v>281</v>
      </c>
      <c r="D49" s="7" t="s">
        <v>282</v>
      </c>
      <c r="E49" s="5" t="s">
        <v>283</v>
      </c>
      <c r="F49" s="20" t="s">
        <v>79</v>
      </c>
      <c r="G49" s="16">
        <v>12</v>
      </c>
      <c r="H49" s="42" t="s">
        <v>85</v>
      </c>
      <c r="I49" s="5" t="s">
        <v>273</v>
      </c>
      <c r="J49" s="7" t="s">
        <v>245</v>
      </c>
      <c r="K49" s="7" t="s">
        <v>284</v>
      </c>
    </row>
    <row r="50" ht="30" customHeight="1" spans="1:11">
      <c r="A50" s="5" t="s">
        <v>285</v>
      </c>
      <c r="B50" s="5" t="s">
        <v>117</v>
      </c>
      <c r="C50" s="7" t="s">
        <v>118</v>
      </c>
      <c r="D50" s="7" t="s">
        <v>286</v>
      </c>
      <c r="E50" s="5" t="s">
        <v>78</v>
      </c>
      <c r="F50" s="20" t="s">
        <v>79</v>
      </c>
      <c r="G50" s="16">
        <v>16</v>
      </c>
      <c r="H50" s="17" t="s">
        <v>89</v>
      </c>
      <c r="I50" s="5" t="s">
        <v>287</v>
      </c>
      <c r="J50" s="7" t="s">
        <v>270</v>
      </c>
      <c r="K50" s="7" t="s">
        <v>288</v>
      </c>
    </row>
    <row r="51" ht="30" customHeight="1" spans="1:11">
      <c r="A51" s="5" t="s">
        <v>289</v>
      </c>
      <c r="B51" s="5" t="s">
        <v>237</v>
      </c>
      <c r="C51" s="7" t="s">
        <v>238</v>
      </c>
      <c r="D51" s="7" t="s">
        <v>290</v>
      </c>
      <c r="E51" s="5" t="s">
        <v>272</v>
      </c>
      <c r="F51" s="20" t="s">
        <v>79</v>
      </c>
      <c r="G51" s="16">
        <v>10</v>
      </c>
      <c r="H51" s="40" t="s">
        <v>80</v>
      </c>
      <c r="I51" s="5" t="s">
        <v>291</v>
      </c>
      <c r="J51" s="7" t="s">
        <v>270</v>
      </c>
      <c r="K51" s="7" t="s">
        <v>292</v>
      </c>
    </row>
    <row r="52" ht="30" customHeight="1" spans="1:11">
      <c r="A52" s="5" t="s">
        <v>293</v>
      </c>
      <c r="B52" s="5" t="s">
        <v>280</v>
      </c>
      <c r="C52" s="7" t="s">
        <v>281</v>
      </c>
      <c r="D52" s="7" t="s">
        <v>294</v>
      </c>
      <c r="E52" s="5" t="s">
        <v>295</v>
      </c>
      <c r="F52" s="20" t="s">
        <v>79</v>
      </c>
      <c r="G52" s="16">
        <v>14</v>
      </c>
      <c r="H52" s="42" t="s">
        <v>85</v>
      </c>
      <c r="I52" s="5" t="s">
        <v>291</v>
      </c>
      <c r="J52" s="7" t="s">
        <v>279</v>
      </c>
      <c r="K52" s="7" t="s">
        <v>296</v>
      </c>
    </row>
    <row r="53" ht="30" customHeight="1" spans="1:11">
      <c r="A53" s="5" t="s">
        <v>297</v>
      </c>
      <c r="B53" s="5" t="s">
        <v>117</v>
      </c>
      <c r="C53" s="7" t="s">
        <v>118</v>
      </c>
      <c r="D53" s="7" t="s">
        <v>298</v>
      </c>
      <c r="E53" s="5" t="s">
        <v>78</v>
      </c>
      <c r="F53" s="20" t="s">
        <v>79</v>
      </c>
      <c r="G53" s="16">
        <v>13</v>
      </c>
      <c r="H53" s="17" t="s">
        <v>89</v>
      </c>
      <c r="I53" s="5" t="s">
        <v>299</v>
      </c>
      <c r="J53" s="7" t="s">
        <v>78</v>
      </c>
      <c r="K53" s="7" t="s">
        <v>300</v>
      </c>
    </row>
    <row r="54" ht="30" customHeight="1" spans="1:11">
      <c r="A54" s="5" t="s">
        <v>301</v>
      </c>
      <c r="B54" s="5" t="s">
        <v>237</v>
      </c>
      <c r="C54" s="7" t="s">
        <v>238</v>
      </c>
      <c r="D54" s="7" t="s">
        <v>302</v>
      </c>
      <c r="E54" s="5" t="s">
        <v>272</v>
      </c>
      <c r="F54" s="20" t="s">
        <v>79</v>
      </c>
      <c r="G54" s="16">
        <v>14</v>
      </c>
      <c r="H54" s="40" t="s">
        <v>80</v>
      </c>
      <c r="I54" s="5" t="s">
        <v>303</v>
      </c>
      <c r="J54" s="7" t="s">
        <v>289</v>
      </c>
      <c r="K54" s="7" t="s">
        <v>304</v>
      </c>
    </row>
    <row r="55" ht="30" customHeight="1" spans="1:11">
      <c r="A55" s="5" t="s">
        <v>305</v>
      </c>
      <c r="B55" s="5" t="s">
        <v>306</v>
      </c>
      <c r="C55" s="7" t="s">
        <v>307</v>
      </c>
      <c r="D55" s="7" t="s">
        <v>308</v>
      </c>
      <c r="E55" s="5" t="s">
        <v>309</v>
      </c>
      <c r="F55" s="20" t="s">
        <v>79</v>
      </c>
      <c r="G55" s="16">
        <v>14</v>
      </c>
      <c r="H55" s="40" t="s">
        <v>80</v>
      </c>
      <c r="I55" s="5" t="s">
        <v>310</v>
      </c>
      <c r="J55" s="7" t="s">
        <v>301</v>
      </c>
      <c r="K55" s="7" t="s">
        <v>311</v>
      </c>
    </row>
    <row r="56" ht="30" customHeight="1" spans="1:11">
      <c r="A56" s="5" t="s">
        <v>312</v>
      </c>
      <c r="B56" s="5" t="s">
        <v>280</v>
      </c>
      <c r="C56" s="7" t="s">
        <v>281</v>
      </c>
      <c r="D56" s="7" t="s">
        <v>313</v>
      </c>
      <c r="E56" s="5" t="s">
        <v>283</v>
      </c>
      <c r="F56" s="20" t="s">
        <v>79</v>
      </c>
      <c r="G56" s="16">
        <v>6</v>
      </c>
      <c r="H56" s="42" t="s">
        <v>85</v>
      </c>
      <c r="I56" s="5" t="s">
        <v>303</v>
      </c>
      <c r="J56" s="7" t="s">
        <v>279</v>
      </c>
      <c r="K56" s="7" t="s">
        <v>314</v>
      </c>
    </row>
    <row r="57" ht="30" customHeight="1" spans="1:11">
      <c r="A57" s="5" t="s">
        <v>315</v>
      </c>
      <c r="B57" s="5" t="s">
        <v>280</v>
      </c>
      <c r="C57" s="7" t="s">
        <v>281</v>
      </c>
      <c r="D57" s="7" t="s">
        <v>316</v>
      </c>
      <c r="E57" s="5" t="s">
        <v>283</v>
      </c>
      <c r="F57" s="20" t="s">
        <v>79</v>
      </c>
      <c r="G57" s="16">
        <v>4</v>
      </c>
      <c r="H57" s="42" t="s">
        <v>85</v>
      </c>
      <c r="I57" s="5" t="s">
        <v>303</v>
      </c>
      <c r="J57" s="7" t="s">
        <v>293</v>
      </c>
      <c r="K57" s="7" t="s">
        <v>317</v>
      </c>
    </row>
    <row r="58" ht="30" customHeight="1" spans="1:11">
      <c r="A58" s="5" t="s">
        <v>318</v>
      </c>
      <c r="B58" s="5" t="s">
        <v>280</v>
      </c>
      <c r="C58" s="7" t="s">
        <v>281</v>
      </c>
      <c r="D58" s="7" t="s">
        <v>319</v>
      </c>
      <c r="E58" s="5" t="s">
        <v>283</v>
      </c>
      <c r="F58" s="20" t="s">
        <v>79</v>
      </c>
      <c r="G58" s="16">
        <v>5</v>
      </c>
      <c r="H58" s="42" t="s">
        <v>85</v>
      </c>
      <c r="I58" s="5" t="s">
        <v>303</v>
      </c>
      <c r="J58" s="7" t="s">
        <v>293</v>
      </c>
      <c r="K58" s="7" t="s">
        <v>320</v>
      </c>
    </row>
    <row r="59" ht="30" customHeight="1" spans="1:11">
      <c r="A59" s="5" t="s">
        <v>321</v>
      </c>
      <c r="B59" s="5" t="s">
        <v>148</v>
      </c>
      <c r="C59" s="7" t="s">
        <v>149</v>
      </c>
      <c r="D59" s="7" t="s">
        <v>322</v>
      </c>
      <c r="E59" s="5" t="s">
        <v>323</v>
      </c>
      <c r="F59" s="20" t="s">
        <v>79</v>
      </c>
      <c r="G59" s="16">
        <v>8</v>
      </c>
      <c r="H59" s="43" t="s">
        <v>152</v>
      </c>
      <c r="I59" s="5" t="s">
        <v>310</v>
      </c>
      <c r="J59" s="7" t="s">
        <v>324</v>
      </c>
      <c r="K59" s="7" t="s">
        <v>325</v>
      </c>
    </row>
    <row r="60" ht="30" customHeight="1" spans="1:11">
      <c r="A60" s="5" t="s">
        <v>326</v>
      </c>
      <c r="B60" s="5" t="s">
        <v>306</v>
      </c>
      <c r="C60" s="7" t="s">
        <v>307</v>
      </c>
      <c r="D60" s="7" t="s">
        <v>327</v>
      </c>
      <c r="E60" s="5" t="s">
        <v>309</v>
      </c>
      <c r="F60" s="20" t="s">
        <v>79</v>
      </c>
      <c r="G60" s="16">
        <v>10</v>
      </c>
      <c r="H60" s="40" t="s">
        <v>80</v>
      </c>
      <c r="I60" s="5" t="s">
        <v>328</v>
      </c>
      <c r="J60" s="7" t="s">
        <v>305</v>
      </c>
      <c r="K60" s="7" t="s">
        <v>329</v>
      </c>
    </row>
    <row r="61" ht="30" customHeight="1" spans="1:11">
      <c r="A61" s="5" t="s">
        <v>330</v>
      </c>
      <c r="B61" s="5" t="s">
        <v>280</v>
      </c>
      <c r="C61" s="7" t="s">
        <v>281</v>
      </c>
      <c r="D61" s="7" t="s">
        <v>331</v>
      </c>
      <c r="E61" s="5" t="s">
        <v>323</v>
      </c>
      <c r="F61" s="20" t="s">
        <v>79</v>
      </c>
      <c r="G61" s="16">
        <v>7</v>
      </c>
      <c r="H61" s="42" t="s">
        <v>85</v>
      </c>
      <c r="I61" s="5" t="s">
        <v>328</v>
      </c>
      <c r="J61" s="7" t="s">
        <v>293</v>
      </c>
      <c r="K61" s="7" t="s">
        <v>332</v>
      </c>
    </row>
    <row r="62" ht="30" customHeight="1" spans="1:11">
      <c r="A62" s="5" t="s">
        <v>333</v>
      </c>
      <c r="B62" s="5" t="s">
        <v>334</v>
      </c>
      <c r="C62" s="7" t="s">
        <v>335</v>
      </c>
      <c r="D62" s="7" t="s">
        <v>336</v>
      </c>
      <c r="E62" s="5" t="s">
        <v>337</v>
      </c>
      <c r="F62" s="20" t="s">
        <v>79</v>
      </c>
      <c r="G62" s="16">
        <v>5</v>
      </c>
      <c r="H62" s="42" t="s">
        <v>85</v>
      </c>
      <c r="I62" s="5" t="s">
        <v>328</v>
      </c>
      <c r="J62" s="7" t="s">
        <v>245</v>
      </c>
      <c r="K62" s="7" t="s">
        <v>338</v>
      </c>
    </row>
    <row r="63" ht="30" customHeight="1" spans="1:11">
      <c r="A63" s="5" t="s">
        <v>339</v>
      </c>
      <c r="B63" s="5" t="s">
        <v>334</v>
      </c>
      <c r="C63" s="7" t="s">
        <v>335</v>
      </c>
      <c r="D63" s="7" t="s">
        <v>340</v>
      </c>
      <c r="E63" s="5" t="s">
        <v>337</v>
      </c>
      <c r="F63" s="20" t="s">
        <v>79</v>
      </c>
      <c r="G63" s="16">
        <v>4</v>
      </c>
      <c r="H63" s="42" t="s">
        <v>85</v>
      </c>
      <c r="I63" s="5" t="s">
        <v>328</v>
      </c>
      <c r="J63" s="7" t="s">
        <v>333</v>
      </c>
      <c r="K63" s="7" t="s">
        <v>341</v>
      </c>
    </row>
    <row r="64" ht="30" customHeight="1" spans="1:11">
      <c r="A64" s="5" t="s">
        <v>342</v>
      </c>
      <c r="B64" s="5" t="s">
        <v>117</v>
      </c>
      <c r="C64" s="7" t="s">
        <v>118</v>
      </c>
      <c r="D64" s="7" t="s">
        <v>343</v>
      </c>
      <c r="E64" s="5" t="s">
        <v>78</v>
      </c>
      <c r="F64" s="20" t="s">
        <v>79</v>
      </c>
      <c r="G64" s="16">
        <v>16</v>
      </c>
      <c r="H64" s="17" t="s">
        <v>89</v>
      </c>
      <c r="I64" s="5" t="s">
        <v>344</v>
      </c>
      <c r="J64" s="7" t="s">
        <v>345</v>
      </c>
      <c r="K64" s="7" t="s">
        <v>346</v>
      </c>
    </row>
    <row r="65" ht="30" customHeight="1" spans="1:11">
      <c r="A65" s="5" t="s">
        <v>347</v>
      </c>
      <c r="B65" s="5" t="s">
        <v>306</v>
      </c>
      <c r="C65" s="7" t="s">
        <v>307</v>
      </c>
      <c r="D65" s="7" t="s">
        <v>348</v>
      </c>
      <c r="E65" s="5" t="s">
        <v>309</v>
      </c>
      <c r="F65" s="20" t="s">
        <v>79</v>
      </c>
      <c r="G65" s="16">
        <v>6</v>
      </c>
      <c r="H65" s="40" t="s">
        <v>80</v>
      </c>
      <c r="I65" s="5" t="s">
        <v>349</v>
      </c>
      <c r="J65" s="7" t="s">
        <v>326</v>
      </c>
      <c r="K65" s="7" t="s">
        <v>350</v>
      </c>
    </row>
    <row r="66" ht="30" customHeight="1" spans="1:11">
      <c r="A66" s="5" t="s">
        <v>351</v>
      </c>
      <c r="B66" s="5" t="s">
        <v>306</v>
      </c>
      <c r="C66" s="7" t="s">
        <v>307</v>
      </c>
      <c r="D66" s="7" t="s">
        <v>352</v>
      </c>
      <c r="E66" s="5" t="s">
        <v>309</v>
      </c>
      <c r="F66" s="20" t="s">
        <v>79</v>
      </c>
      <c r="G66" s="16">
        <v>4</v>
      </c>
      <c r="H66" s="40" t="s">
        <v>80</v>
      </c>
      <c r="I66" s="5" t="s">
        <v>349</v>
      </c>
      <c r="J66" s="7" t="s">
        <v>326</v>
      </c>
      <c r="K66" s="7" t="s">
        <v>353</v>
      </c>
    </row>
    <row r="67" ht="30" customHeight="1" spans="1:11">
      <c r="A67" s="5" t="s">
        <v>354</v>
      </c>
      <c r="B67" s="5" t="s">
        <v>334</v>
      </c>
      <c r="C67" s="7" t="s">
        <v>335</v>
      </c>
      <c r="D67" s="7" t="s">
        <v>355</v>
      </c>
      <c r="E67" s="5" t="s">
        <v>337</v>
      </c>
      <c r="F67" s="20" t="s">
        <v>79</v>
      </c>
      <c r="G67" s="16">
        <v>9</v>
      </c>
      <c r="H67" s="42" t="s">
        <v>85</v>
      </c>
      <c r="I67" s="5" t="s">
        <v>349</v>
      </c>
      <c r="J67" s="7" t="s">
        <v>356</v>
      </c>
      <c r="K67" s="7" t="s">
        <v>357</v>
      </c>
    </row>
    <row r="68" ht="30" customHeight="1" spans="1:11">
      <c r="A68" s="5" t="s">
        <v>358</v>
      </c>
      <c r="B68" s="5" t="s">
        <v>334</v>
      </c>
      <c r="C68" s="7" t="s">
        <v>335</v>
      </c>
      <c r="D68" s="7" t="s">
        <v>359</v>
      </c>
      <c r="E68" s="5" t="s">
        <v>337</v>
      </c>
      <c r="F68" s="20" t="s">
        <v>79</v>
      </c>
      <c r="G68" s="16">
        <v>9</v>
      </c>
      <c r="H68" s="42" t="s">
        <v>85</v>
      </c>
      <c r="I68" s="5" t="s">
        <v>360</v>
      </c>
      <c r="J68" s="7" t="s">
        <v>361</v>
      </c>
      <c r="K68" s="7" t="s">
        <v>362</v>
      </c>
    </row>
    <row r="69" ht="30" customHeight="1" spans="1:11">
      <c r="A69" s="5" t="s">
        <v>363</v>
      </c>
      <c r="B69" s="5" t="s">
        <v>364</v>
      </c>
      <c r="C69" s="7" t="s">
        <v>365</v>
      </c>
      <c r="D69" s="7" t="s">
        <v>366</v>
      </c>
      <c r="E69" s="5" t="s">
        <v>367</v>
      </c>
      <c r="F69" s="20" t="s">
        <v>79</v>
      </c>
      <c r="G69" s="16">
        <v>5</v>
      </c>
      <c r="H69" s="40" t="s">
        <v>80</v>
      </c>
      <c r="I69" s="5" t="s">
        <v>349</v>
      </c>
      <c r="J69" s="7" t="s">
        <v>131</v>
      </c>
      <c r="K69" s="7" t="s">
        <v>368</v>
      </c>
    </row>
    <row r="70" ht="30" customHeight="1" spans="1:11">
      <c r="A70" s="5" t="s">
        <v>369</v>
      </c>
      <c r="B70" s="5" t="s">
        <v>364</v>
      </c>
      <c r="C70" s="7" t="s">
        <v>365</v>
      </c>
      <c r="D70" s="7" t="s">
        <v>370</v>
      </c>
      <c r="E70" s="5" t="s">
        <v>367</v>
      </c>
      <c r="F70" s="20" t="s">
        <v>79</v>
      </c>
      <c r="G70" s="16">
        <v>3</v>
      </c>
      <c r="H70" s="40" t="s">
        <v>80</v>
      </c>
      <c r="I70" s="5" t="s">
        <v>349</v>
      </c>
      <c r="J70" s="7" t="s">
        <v>371</v>
      </c>
      <c r="K70" s="7" t="s">
        <v>372</v>
      </c>
    </row>
    <row r="71" ht="30" customHeight="1" spans="1:11">
      <c r="A71" s="5" t="s">
        <v>373</v>
      </c>
      <c r="B71" s="5" t="s">
        <v>117</v>
      </c>
      <c r="C71" s="7" t="s">
        <v>118</v>
      </c>
      <c r="D71" s="7" t="s">
        <v>374</v>
      </c>
      <c r="E71" s="5" t="s">
        <v>78</v>
      </c>
      <c r="F71" s="20" t="s">
        <v>79</v>
      </c>
      <c r="G71" s="16">
        <v>8</v>
      </c>
      <c r="H71" s="17" t="s">
        <v>89</v>
      </c>
      <c r="I71" s="5" t="s">
        <v>360</v>
      </c>
      <c r="J71" s="7" t="s">
        <v>375</v>
      </c>
      <c r="K71" s="7" t="s">
        <v>78</v>
      </c>
    </row>
    <row r="72" ht="30" customHeight="1" spans="1:11">
      <c r="A72" s="5" t="s">
        <v>376</v>
      </c>
      <c r="B72" s="5" t="s">
        <v>148</v>
      </c>
      <c r="C72" s="7" t="s">
        <v>149</v>
      </c>
      <c r="D72" s="7" t="s">
        <v>377</v>
      </c>
      <c r="E72" s="5" t="s">
        <v>151</v>
      </c>
      <c r="F72" s="20" t="s">
        <v>79</v>
      </c>
      <c r="G72" s="16">
        <v>12</v>
      </c>
      <c r="H72" s="43" t="s">
        <v>152</v>
      </c>
      <c r="I72" s="5" t="s">
        <v>360</v>
      </c>
      <c r="J72" s="7" t="s">
        <v>378</v>
      </c>
      <c r="K72" s="7" t="s">
        <v>379</v>
      </c>
    </row>
    <row r="73" ht="30" customHeight="1" spans="1:11">
      <c r="A73" s="5" t="s">
        <v>380</v>
      </c>
      <c r="B73" s="5" t="s">
        <v>306</v>
      </c>
      <c r="C73" s="7" t="s">
        <v>307</v>
      </c>
      <c r="D73" s="7" t="s">
        <v>381</v>
      </c>
      <c r="E73" s="5" t="s">
        <v>272</v>
      </c>
      <c r="F73" s="20" t="s">
        <v>79</v>
      </c>
      <c r="G73" s="16">
        <v>10</v>
      </c>
      <c r="H73" s="40" t="s">
        <v>80</v>
      </c>
      <c r="I73" s="5" t="s">
        <v>382</v>
      </c>
      <c r="J73" s="7" t="s">
        <v>383</v>
      </c>
      <c r="K73" s="7" t="s">
        <v>384</v>
      </c>
    </row>
    <row r="74" ht="30" customHeight="1" spans="1:11">
      <c r="A74" s="5" t="s">
        <v>385</v>
      </c>
      <c r="B74" s="5" t="s">
        <v>334</v>
      </c>
      <c r="C74" s="7" t="s">
        <v>335</v>
      </c>
      <c r="D74" s="7" t="s">
        <v>386</v>
      </c>
      <c r="E74" s="5" t="s">
        <v>337</v>
      </c>
      <c r="F74" s="20" t="s">
        <v>79</v>
      </c>
      <c r="G74" s="16">
        <v>9</v>
      </c>
      <c r="H74" s="42" t="s">
        <v>85</v>
      </c>
      <c r="I74" s="5" t="s">
        <v>382</v>
      </c>
      <c r="J74" s="7" t="s">
        <v>358</v>
      </c>
      <c r="K74" s="7" t="s">
        <v>387</v>
      </c>
    </row>
    <row r="75" ht="30" customHeight="1" spans="1:11">
      <c r="A75" s="5" t="s">
        <v>388</v>
      </c>
      <c r="B75" s="5" t="s">
        <v>171</v>
      </c>
      <c r="C75" s="7" t="s">
        <v>172</v>
      </c>
      <c r="D75" s="7" t="s">
        <v>389</v>
      </c>
      <c r="E75" s="5" t="s">
        <v>174</v>
      </c>
      <c r="F75" s="20" t="s">
        <v>79</v>
      </c>
      <c r="G75" s="16">
        <v>6</v>
      </c>
      <c r="H75" s="42" t="s">
        <v>85</v>
      </c>
      <c r="I75" s="5" t="s">
        <v>390</v>
      </c>
      <c r="J75" s="7" t="s">
        <v>391</v>
      </c>
      <c r="K75" s="7" t="s">
        <v>392</v>
      </c>
    </row>
    <row r="76" ht="30" customHeight="1" spans="1:11">
      <c r="A76" s="5" t="s">
        <v>393</v>
      </c>
      <c r="B76" s="5" t="s">
        <v>394</v>
      </c>
      <c r="C76" s="7" t="s">
        <v>395</v>
      </c>
      <c r="D76" s="7" t="s">
        <v>396</v>
      </c>
      <c r="E76" s="5" t="s">
        <v>397</v>
      </c>
      <c r="F76" s="20" t="s">
        <v>79</v>
      </c>
      <c r="G76" s="16">
        <v>8</v>
      </c>
      <c r="H76" s="40" t="s">
        <v>80</v>
      </c>
      <c r="I76" s="5" t="s">
        <v>382</v>
      </c>
      <c r="J76" s="7" t="s">
        <v>326</v>
      </c>
      <c r="K76" s="7" t="s">
        <v>398</v>
      </c>
    </row>
    <row r="77" ht="30" customHeight="1" spans="1:11">
      <c r="A77" s="5" t="s">
        <v>399</v>
      </c>
      <c r="B77" s="5" t="s">
        <v>148</v>
      </c>
      <c r="C77" s="7" t="s">
        <v>149</v>
      </c>
      <c r="D77" s="7" t="s">
        <v>400</v>
      </c>
      <c r="E77" s="5" t="s">
        <v>78</v>
      </c>
      <c r="F77" s="20" t="s">
        <v>79</v>
      </c>
      <c r="G77" s="16">
        <v>15</v>
      </c>
      <c r="H77" s="42" t="s">
        <v>85</v>
      </c>
      <c r="I77" s="5" t="s">
        <v>401</v>
      </c>
      <c r="J77" s="7" t="s">
        <v>78</v>
      </c>
      <c r="K77" s="7" t="s">
        <v>402</v>
      </c>
    </row>
    <row r="78" ht="30" customHeight="1" spans="1:11">
      <c r="A78" s="5" t="s">
        <v>403</v>
      </c>
      <c r="B78" s="5" t="s">
        <v>306</v>
      </c>
      <c r="C78" s="7" t="s">
        <v>307</v>
      </c>
      <c r="D78" s="7" t="s">
        <v>404</v>
      </c>
      <c r="E78" s="5" t="s">
        <v>309</v>
      </c>
      <c r="F78" s="20" t="s">
        <v>79</v>
      </c>
      <c r="G78" s="16">
        <v>5</v>
      </c>
      <c r="H78" s="40" t="s">
        <v>80</v>
      </c>
      <c r="I78" s="5" t="s">
        <v>401</v>
      </c>
      <c r="J78" s="7" t="s">
        <v>326</v>
      </c>
      <c r="K78" s="7" t="s">
        <v>405</v>
      </c>
    </row>
    <row r="79" ht="30" customHeight="1" spans="1:11">
      <c r="A79" s="5" t="s">
        <v>406</v>
      </c>
      <c r="B79" s="5" t="s">
        <v>394</v>
      </c>
      <c r="C79" s="7" t="s">
        <v>395</v>
      </c>
      <c r="D79" s="7" t="s">
        <v>407</v>
      </c>
      <c r="E79" s="5" t="s">
        <v>397</v>
      </c>
      <c r="F79" s="20" t="s">
        <v>79</v>
      </c>
      <c r="G79" s="16">
        <v>5</v>
      </c>
      <c r="H79" s="40" t="s">
        <v>80</v>
      </c>
      <c r="I79" s="5" t="s">
        <v>401</v>
      </c>
      <c r="J79" s="7" t="s">
        <v>393</v>
      </c>
      <c r="K79" s="7" t="s">
        <v>408</v>
      </c>
    </row>
    <row r="80" ht="30" customHeight="1" spans="1:11">
      <c r="A80" s="5" t="s">
        <v>409</v>
      </c>
      <c r="B80" s="5" t="s">
        <v>394</v>
      </c>
      <c r="C80" s="7" t="s">
        <v>395</v>
      </c>
      <c r="D80" s="7" t="s">
        <v>410</v>
      </c>
      <c r="E80" s="5" t="s">
        <v>397</v>
      </c>
      <c r="F80" s="20" t="s">
        <v>79</v>
      </c>
      <c r="G80" s="16">
        <v>8</v>
      </c>
      <c r="H80" s="40" t="s">
        <v>80</v>
      </c>
      <c r="I80" s="5" t="s">
        <v>401</v>
      </c>
      <c r="J80" s="7" t="s">
        <v>406</v>
      </c>
      <c r="K80" s="7" t="s">
        <v>411</v>
      </c>
    </row>
    <row r="81" ht="30" customHeight="1" spans="1:11">
      <c r="A81" s="5" t="s">
        <v>412</v>
      </c>
      <c r="B81" s="5" t="s">
        <v>394</v>
      </c>
      <c r="C81" s="7" t="s">
        <v>395</v>
      </c>
      <c r="D81" s="7" t="s">
        <v>413</v>
      </c>
      <c r="E81" s="5" t="s">
        <v>397</v>
      </c>
      <c r="F81" s="20" t="s">
        <v>79</v>
      </c>
      <c r="G81" s="16">
        <v>3</v>
      </c>
      <c r="H81" s="40" t="s">
        <v>80</v>
      </c>
      <c r="I81" s="5" t="s">
        <v>414</v>
      </c>
      <c r="J81" s="7" t="s">
        <v>409</v>
      </c>
      <c r="K81" s="7" t="s">
        <v>415</v>
      </c>
    </row>
    <row r="82" ht="30" customHeight="1" spans="1:11">
      <c r="A82" s="5" t="s">
        <v>416</v>
      </c>
      <c r="B82" s="5" t="s">
        <v>394</v>
      </c>
      <c r="C82" s="7" t="s">
        <v>395</v>
      </c>
      <c r="D82" s="7" t="s">
        <v>417</v>
      </c>
      <c r="E82" s="5" t="s">
        <v>397</v>
      </c>
      <c r="F82" s="20" t="s">
        <v>79</v>
      </c>
      <c r="G82" s="16">
        <v>2</v>
      </c>
      <c r="H82" s="40" t="s">
        <v>80</v>
      </c>
      <c r="I82" s="5" t="s">
        <v>414</v>
      </c>
      <c r="J82" s="7" t="s">
        <v>409</v>
      </c>
      <c r="K82" s="7" t="s">
        <v>418</v>
      </c>
    </row>
    <row r="83" ht="30" customHeight="1" spans="1:11">
      <c r="A83" s="5" t="s">
        <v>419</v>
      </c>
      <c r="B83" s="5" t="s">
        <v>364</v>
      </c>
      <c r="C83" s="7" t="s">
        <v>365</v>
      </c>
      <c r="D83" s="7" t="s">
        <v>420</v>
      </c>
      <c r="E83" s="5" t="s">
        <v>367</v>
      </c>
      <c r="F83" s="20" t="s">
        <v>79</v>
      </c>
      <c r="G83" s="16">
        <v>6</v>
      </c>
      <c r="H83" s="40" t="s">
        <v>80</v>
      </c>
      <c r="I83" s="5" t="s">
        <v>414</v>
      </c>
      <c r="J83" s="7" t="s">
        <v>421</v>
      </c>
      <c r="K83" s="7" t="s">
        <v>422</v>
      </c>
    </row>
    <row r="84" ht="30" customHeight="1" spans="1:11">
      <c r="A84" s="5" t="s">
        <v>423</v>
      </c>
      <c r="B84" s="5" t="s">
        <v>148</v>
      </c>
      <c r="C84" s="7" t="s">
        <v>149</v>
      </c>
      <c r="D84" s="7" t="s">
        <v>424</v>
      </c>
      <c r="E84" s="5" t="s">
        <v>105</v>
      </c>
      <c r="F84" s="20" t="s">
        <v>79</v>
      </c>
      <c r="G84" s="16">
        <v>5</v>
      </c>
      <c r="H84" s="43" t="s">
        <v>152</v>
      </c>
      <c r="I84" s="5" t="s">
        <v>414</v>
      </c>
      <c r="J84" s="7" t="s">
        <v>301</v>
      </c>
      <c r="K84" s="7" t="s">
        <v>425</v>
      </c>
    </row>
    <row r="85" ht="30" customHeight="1" spans="1:11">
      <c r="A85" s="5" t="s">
        <v>426</v>
      </c>
      <c r="B85" s="5" t="s">
        <v>148</v>
      </c>
      <c r="C85" s="7" t="s">
        <v>149</v>
      </c>
      <c r="D85" s="7" t="s">
        <v>427</v>
      </c>
      <c r="E85" s="5" t="s">
        <v>101</v>
      </c>
      <c r="F85" s="20" t="s">
        <v>79</v>
      </c>
      <c r="G85" s="16">
        <v>3</v>
      </c>
      <c r="H85" s="43" t="s">
        <v>152</v>
      </c>
      <c r="I85" s="5" t="s">
        <v>414</v>
      </c>
      <c r="J85" s="7" t="s">
        <v>112</v>
      </c>
      <c r="K85" s="7" t="s">
        <v>428</v>
      </c>
    </row>
    <row r="86" spans="1:11">
      <c r="D86" s="45" t="s">
        <v>429</v>
      </c>
      <c r="G86" s="19">
        <f>SUM(G2:G85)</f>
        <v>653</v>
      </c>
    </row>
  </sheetData>
  <autoFilter xmlns:etc="http://www.wps.cn/officeDocument/2017/etCustomData" ref="A1:K86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showGridLines="0" workbookViewId="0">
      <pane ySplit="4" topLeftCell="A5" activePane="bottomLeft" state="frozen"/>
      <selection/>
      <selection pane="bottomLeft" activeCell="A1" sqref="A1"/>
    </sheetView>
  </sheetViews>
  <sheetFormatPr defaultColWidth="8.67592592592593" defaultRowHeight="14.4"/>
  <cols>
    <col min="1" max="1" width="8" customWidth="1"/>
    <col min="2" max="2" width="40" customWidth="1"/>
    <col min="3" max="3" width="24" customWidth="1"/>
    <col min="4" max="4" width="8" customWidth="1"/>
    <col min="5" max="5" width="12" customWidth="1"/>
    <col min="6" max="6" width="17" customWidth="1"/>
    <col min="7" max="7" width="13" customWidth="1"/>
    <col min="8" max="9" width="14" customWidth="1"/>
  </cols>
  <sheetData>
    <row r="1" ht="21" spans="1:9">
      <c r="A1" s="1" t="s">
        <v>430</v>
      </c>
    </row>
    <row r="4" ht="30" customHeight="1" spans="1:9">
      <c r="A4" s="3" t="s">
        <v>64</v>
      </c>
      <c r="B4" s="3" t="s">
        <v>65</v>
      </c>
      <c r="C4" s="3" t="s">
        <v>431</v>
      </c>
      <c r="D4" s="3" t="s">
        <v>70</v>
      </c>
      <c r="E4" s="3" t="s">
        <v>432</v>
      </c>
      <c r="F4" s="3" t="s">
        <v>69</v>
      </c>
      <c r="G4" s="3" t="s">
        <v>433</v>
      </c>
      <c r="H4" s="3" t="s">
        <v>434</v>
      </c>
      <c r="I4" s="3" t="s">
        <v>435</v>
      </c>
    </row>
    <row r="5" spans="1:9">
      <c r="A5" s="5" t="s">
        <v>75</v>
      </c>
      <c r="B5" s="7" t="s">
        <v>76</v>
      </c>
      <c r="C5" s="7" t="s">
        <v>436</v>
      </c>
      <c r="D5" s="40" t="s">
        <v>80</v>
      </c>
      <c r="E5" s="5">
        <f>COUNTIF('2. Backlog'!$B$2:$B$85,A5)</f>
        <v>11</v>
      </c>
      <c r="F5" s="16">
        <f>SUMIFS('2. Backlog'!$G$2:$G$85,'2. Backlog'!$B$2:$B$85,A5)</f>
        <v>86</v>
      </c>
      <c r="G5" s="41">
        <f t="shared" ref="G5:G18" si="0">F5/$F$19</f>
        <v>0.131699846860643</v>
      </c>
      <c r="H5" s="5" t="s">
        <v>81</v>
      </c>
      <c r="I5" s="5" t="s">
        <v>125</v>
      </c>
    </row>
    <row r="6" spans="1:9">
      <c r="A6" s="5" t="s">
        <v>132</v>
      </c>
      <c r="B6" s="7" t="s">
        <v>133</v>
      </c>
      <c r="C6" s="7" t="s">
        <v>437</v>
      </c>
      <c r="D6" s="40" t="s">
        <v>80</v>
      </c>
      <c r="E6" s="5">
        <f>COUNTIF('2. Backlog'!$B$2:$B$85,A6)</f>
        <v>6</v>
      </c>
      <c r="F6" s="16">
        <f>SUMIFS('2. Backlog'!$G$2:$G$85,'2. Backlog'!$B$2:$B$85,A6)</f>
        <v>39</v>
      </c>
      <c r="G6" s="41">
        <f t="shared" si="0"/>
        <v>0.0597243491577335</v>
      </c>
      <c r="H6" s="5" t="s">
        <v>125</v>
      </c>
      <c r="I6" s="5" t="s">
        <v>181</v>
      </c>
    </row>
    <row r="7" spans="1:9">
      <c r="A7" s="5" t="s">
        <v>138</v>
      </c>
      <c r="B7" s="7" t="s">
        <v>139</v>
      </c>
      <c r="C7" s="7" t="s">
        <v>139</v>
      </c>
      <c r="D7" s="42" t="s">
        <v>85</v>
      </c>
      <c r="E7" s="5">
        <f>COUNTIF('2. Backlog'!$B$2:$B$85,A7)</f>
        <v>4</v>
      </c>
      <c r="F7" s="16">
        <f>SUMIFS('2. Backlog'!$G$2:$G$85,'2. Backlog'!$B$2:$B$85,A7)</f>
        <v>22</v>
      </c>
      <c r="G7" s="41">
        <f t="shared" si="0"/>
        <v>0.0336906584992343</v>
      </c>
      <c r="H7" s="5" t="s">
        <v>125</v>
      </c>
      <c r="I7" s="5" t="s">
        <v>157</v>
      </c>
    </row>
    <row r="8" spans="1:9">
      <c r="A8" s="5" t="s">
        <v>191</v>
      </c>
      <c r="B8" s="7" t="s">
        <v>192</v>
      </c>
      <c r="C8" s="7" t="s">
        <v>192</v>
      </c>
      <c r="D8" s="40" t="s">
        <v>80</v>
      </c>
      <c r="E8" s="5">
        <f>COUNTIF('2. Backlog'!$B$2:$B$85,A8)</f>
        <v>5</v>
      </c>
      <c r="F8" s="16">
        <f>SUMIFS('2. Backlog'!$G$2:$G$85,'2. Backlog'!$B$2:$B$85,A8)</f>
        <v>30</v>
      </c>
      <c r="G8" s="41">
        <f t="shared" si="0"/>
        <v>0.0459418070444104</v>
      </c>
      <c r="H8" s="5" t="s">
        <v>181</v>
      </c>
      <c r="I8" s="5" t="s">
        <v>234</v>
      </c>
    </row>
    <row r="9" spans="1:9">
      <c r="A9" s="5" t="s">
        <v>237</v>
      </c>
      <c r="B9" s="7" t="s">
        <v>238</v>
      </c>
      <c r="C9" s="7" t="s">
        <v>438</v>
      </c>
      <c r="D9" s="40" t="s">
        <v>80</v>
      </c>
      <c r="E9" s="5">
        <f>COUNTIF('2. Backlog'!$B$2:$B$85,A9)</f>
        <v>7</v>
      </c>
      <c r="F9" s="16">
        <f>SUMIFS('2. Backlog'!$G$2:$G$85,'2. Backlog'!$B$2:$B$85,A9)</f>
        <v>73</v>
      </c>
      <c r="G9" s="41">
        <f t="shared" si="0"/>
        <v>0.111791730474732</v>
      </c>
      <c r="H9" s="5" t="s">
        <v>234</v>
      </c>
      <c r="I9" s="5" t="s">
        <v>303</v>
      </c>
    </row>
    <row r="10" spans="1:9">
      <c r="A10" s="5" t="s">
        <v>306</v>
      </c>
      <c r="B10" s="7" t="s">
        <v>307</v>
      </c>
      <c r="C10" s="7" t="s">
        <v>438</v>
      </c>
      <c r="D10" s="40" t="s">
        <v>80</v>
      </c>
      <c r="E10" s="5">
        <f>COUNTIF('2. Backlog'!$B$2:$B$85,A10)</f>
        <v>6</v>
      </c>
      <c r="F10" s="16">
        <f>SUMIFS('2. Backlog'!$G$2:$G$85,'2. Backlog'!$B$2:$B$85,A10)</f>
        <v>49</v>
      </c>
      <c r="G10" s="41">
        <f t="shared" si="0"/>
        <v>0.0750382848392037</v>
      </c>
      <c r="H10" s="5" t="s">
        <v>303</v>
      </c>
      <c r="I10" s="5" t="s">
        <v>401</v>
      </c>
    </row>
    <row r="11" spans="1:9">
      <c r="A11" s="5" t="s">
        <v>221</v>
      </c>
      <c r="B11" s="7" t="s">
        <v>222</v>
      </c>
      <c r="C11" s="7" t="s">
        <v>439</v>
      </c>
      <c r="D11" s="42" t="s">
        <v>85</v>
      </c>
      <c r="E11" s="5">
        <f>COUNTIF('2. Backlog'!$B$2:$B$85,A11)</f>
        <v>5</v>
      </c>
      <c r="F11" s="16">
        <f>SUMIFS('2. Backlog'!$G$2:$G$85,'2. Backlog'!$B$2:$B$85,A11)</f>
        <v>34</v>
      </c>
      <c r="G11" s="41">
        <f t="shared" si="0"/>
        <v>0.0520673813169985</v>
      </c>
      <c r="H11" s="5" t="s">
        <v>210</v>
      </c>
      <c r="I11" s="5" t="s">
        <v>268</v>
      </c>
    </row>
    <row r="12" spans="1:9">
      <c r="A12" s="5" t="s">
        <v>280</v>
      </c>
      <c r="B12" s="7" t="s">
        <v>281</v>
      </c>
      <c r="C12" s="7" t="s">
        <v>439</v>
      </c>
      <c r="D12" s="42" t="s">
        <v>85</v>
      </c>
      <c r="E12" s="5">
        <f>COUNTIF('2. Backlog'!$B$2:$B$85,A12)</f>
        <v>6</v>
      </c>
      <c r="F12" s="16">
        <f>SUMIFS('2. Backlog'!$G$2:$G$85,'2. Backlog'!$B$2:$B$85,A12)</f>
        <v>48</v>
      </c>
      <c r="G12" s="41">
        <f t="shared" si="0"/>
        <v>0.0735068912710567</v>
      </c>
      <c r="H12" s="5" t="s">
        <v>268</v>
      </c>
      <c r="I12" s="5" t="s">
        <v>328</v>
      </c>
    </row>
    <row r="13" spans="1:9">
      <c r="A13" s="5" t="s">
        <v>334</v>
      </c>
      <c r="B13" s="7" t="s">
        <v>335</v>
      </c>
      <c r="C13" s="7" t="s">
        <v>439</v>
      </c>
      <c r="D13" s="42" t="s">
        <v>85</v>
      </c>
      <c r="E13" s="5">
        <f>COUNTIF('2. Backlog'!$B$2:$B$85,A13)</f>
        <v>5</v>
      </c>
      <c r="F13" s="16">
        <f>SUMIFS('2. Backlog'!$G$2:$G$85,'2. Backlog'!$B$2:$B$85,A13)</f>
        <v>36</v>
      </c>
      <c r="G13" s="41">
        <f t="shared" si="0"/>
        <v>0.0551301684532925</v>
      </c>
      <c r="H13" s="5" t="s">
        <v>328</v>
      </c>
      <c r="I13" s="5" t="s">
        <v>382</v>
      </c>
    </row>
    <row r="14" spans="1:9">
      <c r="A14" s="5" t="s">
        <v>171</v>
      </c>
      <c r="B14" s="7" t="s">
        <v>172</v>
      </c>
      <c r="C14" s="7" t="s">
        <v>440</v>
      </c>
      <c r="D14" s="42" t="s">
        <v>85</v>
      </c>
      <c r="E14" s="5">
        <f>COUNTIF('2. Backlog'!$B$2:$B$85,A14)</f>
        <v>6</v>
      </c>
      <c r="F14" s="16">
        <f>SUMIFS('2. Backlog'!$G$2:$G$85,'2. Backlog'!$B$2:$B$85,A14)</f>
        <v>42</v>
      </c>
      <c r="G14" s="41">
        <f t="shared" si="0"/>
        <v>0.0643185298621746</v>
      </c>
      <c r="H14" s="5" t="s">
        <v>157</v>
      </c>
      <c r="I14" s="5" t="s">
        <v>401</v>
      </c>
    </row>
    <row r="15" spans="1:9">
      <c r="A15" s="5" t="s">
        <v>394</v>
      </c>
      <c r="B15" s="7" t="s">
        <v>395</v>
      </c>
      <c r="C15" s="7" t="s">
        <v>440</v>
      </c>
      <c r="D15" s="40" t="s">
        <v>80</v>
      </c>
      <c r="E15" s="5">
        <f>COUNTIF('2. Backlog'!$B$2:$B$85,A15)</f>
        <v>5</v>
      </c>
      <c r="F15" s="16">
        <f>SUMIFS('2. Backlog'!$G$2:$G$85,'2. Backlog'!$B$2:$B$85,A15)</f>
        <v>26</v>
      </c>
      <c r="G15" s="41">
        <f t="shared" si="0"/>
        <v>0.0398162327718224</v>
      </c>
      <c r="H15" s="5" t="s">
        <v>382</v>
      </c>
      <c r="I15" s="5" t="s">
        <v>414</v>
      </c>
    </row>
    <row r="16" spans="1:9">
      <c r="A16" s="5" t="s">
        <v>364</v>
      </c>
      <c r="B16" s="7" t="s">
        <v>365</v>
      </c>
      <c r="C16" s="7" t="s">
        <v>437</v>
      </c>
      <c r="D16" s="40" t="s">
        <v>80</v>
      </c>
      <c r="E16" s="5">
        <f>COUNTIF('2. Backlog'!$B$2:$B$85,A16)</f>
        <v>3</v>
      </c>
      <c r="F16" s="16">
        <f>SUMIFS('2. Backlog'!$G$2:$G$85,'2. Backlog'!$B$2:$B$85,A16)</f>
        <v>14</v>
      </c>
      <c r="G16" s="41">
        <f t="shared" si="0"/>
        <v>0.0214395099540582</v>
      </c>
      <c r="H16" s="5" t="s">
        <v>349</v>
      </c>
      <c r="I16" s="5" t="s">
        <v>414</v>
      </c>
    </row>
    <row r="17" spans="1:9">
      <c r="A17" s="5" t="s">
        <v>117</v>
      </c>
      <c r="B17" s="7" t="s">
        <v>118</v>
      </c>
      <c r="C17" s="7" t="s">
        <v>441</v>
      </c>
      <c r="D17" s="17" t="s">
        <v>89</v>
      </c>
      <c r="E17" s="5">
        <f>COUNTIF('2. Backlog'!$B$2:$B$85,A17)</f>
        <v>9</v>
      </c>
      <c r="F17" s="16">
        <f>SUMIFS('2. Backlog'!$G$2:$G$85,'2. Backlog'!$B$2:$B$85,A17)</f>
        <v>101</v>
      </c>
      <c r="G17" s="41">
        <f t="shared" si="0"/>
        <v>0.154670750382848</v>
      </c>
      <c r="H17" s="5" t="s">
        <v>106</v>
      </c>
      <c r="I17" s="5" t="s">
        <v>401</v>
      </c>
    </row>
    <row r="18" spans="1:9">
      <c r="A18" s="5" t="s">
        <v>148</v>
      </c>
      <c r="B18" s="7" t="s">
        <v>149</v>
      </c>
      <c r="C18" s="7" t="s">
        <v>436</v>
      </c>
      <c r="D18" s="43" t="s">
        <v>152</v>
      </c>
      <c r="E18" s="5">
        <f>COUNTIF('2. Backlog'!$B$2:$B$85,A18)</f>
        <v>6</v>
      </c>
      <c r="F18" s="16">
        <f>SUMIFS('2. Backlog'!$G$2:$G$85,'2. Backlog'!$B$2:$B$85,A18)</f>
        <v>53</v>
      </c>
      <c r="G18" s="41">
        <f t="shared" si="0"/>
        <v>0.0811638591117917</v>
      </c>
      <c r="H18" s="5" t="s">
        <v>125</v>
      </c>
      <c r="I18" s="5" t="s">
        <v>414</v>
      </c>
    </row>
    <row r="19" spans="1:9">
      <c r="B19" s="8" t="s">
        <v>442</v>
      </c>
      <c r="E19" s="44">
        <f>SUM(E5:E18)</f>
        <v>84</v>
      </c>
      <c r="F19" s="44">
        <f>SUM(F5:F18)</f>
        <v>653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2"/>
  <sheetViews>
    <sheetView showGridLines="0" workbookViewId="0">
      <pane ySplit="4" topLeftCell="A5" activePane="bottomLeft" state="frozen"/>
      <selection/>
      <selection pane="bottomLeft" activeCell="A1" sqref="A1"/>
    </sheetView>
  </sheetViews>
  <sheetFormatPr defaultColWidth="8.67592592592593" defaultRowHeight="14.4"/>
  <cols>
    <col min="1" max="1" width="7" customWidth="1"/>
    <col min="2" max="2" width="42" customWidth="1"/>
    <col min="3" max="4" width="15" customWidth="1"/>
    <col min="5" max="5" width="18" customWidth="1"/>
    <col min="6" max="6" width="11" customWidth="1"/>
    <col min="7" max="7" width="34" customWidth="1"/>
    <col min="8" max="14" width="8" customWidth="1"/>
    <col min="15" max="17" width="9" customWidth="1"/>
  </cols>
  <sheetData>
    <row r="1" ht="21" spans="1:17">
      <c r="A1" s="1" t="s">
        <v>443</v>
      </c>
    </row>
    <row r="2" spans="1:17">
      <c r="A2" s="12" t="s">
        <v>444</v>
      </c>
    </row>
    <row r="4" ht="30" customHeight="1" spans="1:17">
      <c r="A4" s="3" t="s">
        <v>71</v>
      </c>
      <c r="B4" s="3" t="s">
        <v>445</v>
      </c>
      <c r="C4" s="3" t="s">
        <v>446</v>
      </c>
      <c r="D4" s="3" t="s">
        <v>447</v>
      </c>
      <c r="E4" s="3" t="s">
        <v>448</v>
      </c>
      <c r="F4" s="3" t="s">
        <v>449</v>
      </c>
      <c r="G4" s="3" t="s">
        <v>450</v>
      </c>
      <c r="H4" s="3" t="s">
        <v>451</v>
      </c>
      <c r="I4" s="3" t="s">
        <v>452</v>
      </c>
      <c r="J4" s="3" t="s">
        <v>453</v>
      </c>
      <c r="K4" s="3" t="s">
        <v>454</v>
      </c>
      <c r="L4" s="3" t="s">
        <v>455</v>
      </c>
      <c r="M4" s="3" t="s">
        <v>456</v>
      </c>
      <c r="N4" s="3" t="s">
        <v>457</v>
      </c>
      <c r="O4" s="3" t="s">
        <v>458</v>
      </c>
      <c r="P4" s="3" t="s">
        <v>459</v>
      </c>
      <c r="Q4" s="3" t="s">
        <v>460</v>
      </c>
    </row>
    <row r="5" ht="25.5" customHeight="1" spans="1:17">
      <c r="A5" s="24" t="s">
        <v>81</v>
      </c>
      <c r="B5" s="5" t="s">
        <v>461</v>
      </c>
      <c r="C5" s="5" t="s">
        <v>462</v>
      </c>
      <c r="D5" s="5">
        <v>2</v>
      </c>
      <c r="E5" s="25">
        <v>1</v>
      </c>
      <c r="F5" s="7" t="s">
        <v>463</v>
      </c>
      <c r="G5" s="16">
        <v>20</v>
      </c>
      <c r="H5" s="26">
        <f t="shared" ref="H5:H21" si="0">20*$E5</f>
        <v>20</v>
      </c>
      <c r="I5" s="16">
        <v>16</v>
      </c>
      <c r="J5" s="27">
        <f t="shared" ref="J5:J21" si="1">16*$E5</f>
        <v>16</v>
      </c>
      <c r="K5" s="16">
        <v>8</v>
      </c>
      <c r="L5" s="28">
        <f t="shared" ref="L5:L21" si="2">8*$E5</f>
        <v>8</v>
      </c>
      <c r="M5" s="16">
        <v>0</v>
      </c>
      <c r="N5" s="29">
        <f t="shared" ref="N5:N21" si="3">8*$E5</f>
        <v>8</v>
      </c>
      <c r="O5" s="24">
        <f t="shared" ref="O5:O21" si="4">G5+I5+K5+M5</f>
        <v>44</v>
      </c>
      <c r="P5" s="30">
        <f t="shared" ref="P5:P21" si="5">H5+J5+L5+N5</f>
        <v>52</v>
      </c>
      <c r="Q5" s="31">
        <f t="shared" ref="Q5:Q21" si="6">IFERROR(O5/P5,0)</f>
        <v>0.846153846153846</v>
      </c>
    </row>
    <row r="6" ht="25.5" customHeight="1" spans="1:17">
      <c r="A6" s="24" t="s">
        <v>94</v>
      </c>
      <c r="B6" s="5" t="s">
        <v>464</v>
      </c>
      <c r="C6" s="5" t="s">
        <v>465</v>
      </c>
      <c r="D6" s="5">
        <v>2</v>
      </c>
      <c r="E6" s="25">
        <v>1</v>
      </c>
      <c r="F6" s="7" t="s">
        <v>466</v>
      </c>
      <c r="G6" s="16">
        <v>16</v>
      </c>
      <c r="H6" s="26">
        <f t="shared" si="0"/>
        <v>20</v>
      </c>
      <c r="I6" s="16">
        <v>0</v>
      </c>
      <c r="J6" s="27">
        <f t="shared" si="1"/>
        <v>16</v>
      </c>
      <c r="K6" s="16">
        <v>0</v>
      </c>
      <c r="L6" s="28">
        <f t="shared" si="2"/>
        <v>8</v>
      </c>
      <c r="M6" s="16">
        <v>0</v>
      </c>
      <c r="N6" s="29">
        <f t="shared" si="3"/>
        <v>8</v>
      </c>
      <c r="O6" s="24">
        <f t="shared" si="4"/>
        <v>16</v>
      </c>
      <c r="P6" s="30">
        <f t="shared" si="5"/>
        <v>52</v>
      </c>
      <c r="Q6" s="31">
        <f t="shared" si="6"/>
        <v>0.307692307692308</v>
      </c>
    </row>
    <row r="7" ht="25.5" customHeight="1" spans="1:17">
      <c r="A7" s="24" t="s">
        <v>106</v>
      </c>
      <c r="B7" s="5" t="s">
        <v>467</v>
      </c>
      <c r="C7" s="5" t="s">
        <v>468</v>
      </c>
      <c r="D7" s="5">
        <v>2</v>
      </c>
      <c r="E7" s="25">
        <v>1</v>
      </c>
      <c r="F7" s="7" t="s">
        <v>469</v>
      </c>
      <c r="G7" s="16">
        <v>19</v>
      </c>
      <c r="H7" s="26">
        <f t="shared" si="0"/>
        <v>20</v>
      </c>
      <c r="I7" s="16">
        <v>0</v>
      </c>
      <c r="J7" s="27">
        <f t="shared" si="1"/>
        <v>16</v>
      </c>
      <c r="K7" s="16">
        <v>6</v>
      </c>
      <c r="L7" s="28">
        <f t="shared" si="2"/>
        <v>8</v>
      </c>
      <c r="M7" s="16">
        <v>0</v>
      </c>
      <c r="N7" s="29">
        <f t="shared" si="3"/>
        <v>8</v>
      </c>
      <c r="O7" s="24">
        <f t="shared" si="4"/>
        <v>25</v>
      </c>
      <c r="P7" s="30">
        <f t="shared" si="5"/>
        <v>52</v>
      </c>
      <c r="Q7" s="31">
        <f t="shared" si="6"/>
        <v>0.480769230769231</v>
      </c>
    </row>
    <row r="8" ht="25.5" customHeight="1" spans="1:17">
      <c r="A8" s="24" t="s">
        <v>125</v>
      </c>
      <c r="B8" s="5" t="s">
        <v>470</v>
      </c>
      <c r="C8" s="5" t="s">
        <v>471</v>
      </c>
      <c r="D8" s="5">
        <v>2</v>
      </c>
      <c r="E8" s="25">
        <v>1</v>
      </c>
      <c r="F8" s="7" t="s">
        <v>472</v>
      </c>
      <c r="G8" s="16">
        <v>17</v>
      </c>
      <c r="H8" s="26">
        <f t="shared" si="0"/>
        <v>20</v>
      </c>
      <c r="I8" s="16">
        <v>15</v>
      </c>
      <c r="J8" s="27">
        <f t="shared" si="1"/>
        <v>16</v>
      </c>
      <c r="K8" s="16">
        <v>6</v>
      </c>
      <c r="L8" s="28">
        <f t="shared" si="2"/>
        <v>8</v>
      </c>
      <c r="M8" s="16">
        <v>5</v>
      </c>
      <c r="N8" s="29">
        <f t="shared" si="3"/>
        <v>8</v>
      </c>
      <c r="O8" s="24">
        <f t="shared" si="4"/>
        <v>43</v>
      </c>
      <c r="P8" s="30">
        <f t="shared" si="5"/>
        <v>52</v>
      </c>
      <c r="Q8" s="31">
        <f t="shared" si="6"/>
        <v>0.826923076923077</v>
      </c>
    </row>
    <row r="9" ht="25.5" customHeight="1" spans="1:17">
      <c r="A9" s="24" t="s">
        <v>157</v>
      </c>
      <c r="B9" s="5" t="s">
        <v>473</v>
      </c>
      <c r="C9" s="5" t="s">
        <v>474</v>
      </c>
      <c r="D9" s="5">
        <v>2</v>
      </c>
      <c r="E9" s="25">
        <v>1</v>
      </c>
      <c r="F9" s="7" t="s">
        <v>475</v>
      </c>
      <c r="G9" s="16">
        <v>16</v>
      </c>
      <c r="H9" s="26">
        <f t="shared" si="0"/>
        <v>20</v>
      </c>
      <c r="I9" s="16">
        <v>15</v>
      </c>
      <c r="J9" s="27">
        <f t="shared" si="1"/>
        <v>16</v>
      </c>
      <c r="K9" s="16">
        <v>8</v>
      </c>
      <c r="L9" s="28">
        <f t="shared" si="2"/>
        <v>8</v>
      </c>
      <c r="M9" s="16">
        <v>5</v>
      </c>
      <c r="N9" s="29">
        <f t="shared" si="3"/>
        <v>8</v>
      </c>
      <c r="O9" s="24">
        <f t="shared" si="4"/>
        <v>44</v>
      </c>
      <c r="P9" s="30">
        <f t="shared" si="5"/>
        <v>52</v>
      </c>
      <c r="Q9" s="31">
        <f t="shared" si="6"/>
        <v>0.846153846153846</v>
      </c>
    </row>
    <row r="10" ht="25.5" customHeight="1" spans="1:17">
      <c r="A10" s="24" t="s">
        <v>181</v>
      </c>
      <c r="B10" s="5" t="s">
        <v>476</v>
      </c>
      <c r="C10" s="5" t="s">
        <v>477</v>
      </c>
      <c r="D10" s="5">
        <v>2</v>
      </c>
      <c r="E10" s="25">
        <v>1</v>
      </c>
      <c r="F10" s="7" t="s">
        <v>478</v>
      </c>
      <c r="G10" s="16">
        <v>19</v>
      </c>
      <c r="H10" s="26">
        <f t="shared" si="0"/>
        <v>20</v>
      </c>
      <c r="I10" s="16">
        <v>16</v>
      </c>
      <c r="J10" s="27">
        <f t="shared" si="1"/>
        <v>16</v>
      </c>
      <c r="K10" s="16">
        <v>8</v>
      </c>
      <c r="L10" s="28">
        <f t="shared" si="2"/>
        <v>8</v>
      </c>
      <c r="M10" s="16">
        <v>0</v>
      </c>
      <c r="N10" s="29">
        <f t="shared" si="3"/>
        <v>8</v>
      </c>
      <c r="O10" s="24">
        <f t="shared" si="4"/>
        <v>43</v>
      </c>
      <c r="P10" s="30">
        <f t="shared" si="5"/>
        <v>52</v>
      </c>
      <c r="Q10" s="31">
        <f t="shared" si="6"/>
        <v>0.826923076923077</v>
      </c>
    </row>
    <row r="11" ht="25.5" customHeight="1" spans="1:17">
      <c r="A11" s="24" t="s">
        <v>210</v>
      </c>
      <c r="B11" s="5" t="s">
        <v>479</v>
      </c>
      <c r="C11" s="5" t="s">
        <v>480</v>
      </c>
      <c r="D11" s="5">
        <v>2</v>
      </c>
      <c r="E11" s="25">
        <v>1</v>
      </c>
      <c r="F11" s="7" t="s">
        <v>481</v>
      </c>
      <c r="G11" s="16">
        <v>19</v>
      </c>
      <c r="H11" s="26">
        <f t="shared" si="0"/>
        <v>20</v>
      </c>
      <c r="I11" s="16">
        <v>16</v>
      </c>
      <c r="J11" s="27">
        <f t="shared" si="1"/>
        <v>16</v>
      </c>
      <c r="K11" s="16">
        <v>6</v>
      </c>
      <c r="L11" s="28">
        <f t="shared" si="2"/>
        <v>8</v>
      </c>
      <c r="M11" s="16">
        <v>0</v>
      </c>
      <c r="N11" s="29">
        <f t="shared" si="3"/>
        <v>8</v>
      </c>
      <c r="O11" s="24">
        <f t="shared" si="4"/>
        <v>41</v>
      </c>
      <c r="P11" s="30">
        <f t="shared" si="5"/>
        <v>52</v>
      </c>
      <c r="Q11" s="31">
        <f t="shared" si="6"/>
        <v>0.788461538461538</v>
      </c>
    </row>
    <row r="12" ht="25.5" customHeight="1" spans="1:17">
      <c r="A12" s="24" t="s">
        <v>234</v>
      </c>
      <c r="B12" s="5" t="s">
        <v>482</v>
      </c>
      <c r="C12" s="5" t="s">
        <v>483</v>
      </c>
      <c r="D12" s="5">
        <v>2</v>
      </c>
      <c r="E12" s="25">
        <v>1</v>
      </c>
      <c r="F12" s="7" t="s">
        <v>484</v>
      </c>
      <c r="G12" s="16">
        <v>17</v>
      </c>
      <c r="H12" s="26">
        <f t="shared" si="0"/>
        <v>20</v>
      </c>
      <c r="I12" s="16">
        <v>16</v>
      </c>
      <c r="J12" s="27">
        <f t="shared" si="1"/>
        <v>16</v>
      </c>
      <c r="K12" s="16">
        <v>6</v>
      </c>
      <c r="L12" s="28">
        <f t="shared" si="2"/>
        <v>8</v>
      </c>
      <c r="M12" s="16">
        <v>0</v>
      </c>
      <c r="N12" s="29">
        <f t="shared" si="3"/>
        <v>8</v>
      </c>
      <c r="O12" s="24">
        <f t="shared" si="4"/>
        <v>39</v>
      </c>
      <c r="P12" s="30">
        <f t="shared" si="5"/>
        <v>52</v>
      </c>
      <c r="Q12" s="31">
        <f t="shared" si="6"/>
        <v>0.75</v>
      </c>
    </row>
    <row r="13" ht="25.5" customHeight="1" spans="1:17">
      <c r="A13" s="24" t="s">
        <v>254</v>
      </c>
      <c r="B13" s="5" t="s">
        <v>485</v>
      </c>
      <c r="C13" s="5" t="s">
        <v>486</v>
      </c>
      <c r="D13" s="5">
        <v>3</v>
      </c>
      <c r="E13" s="25">
        <v>0.8</v>
      </c>
      <c r="F13" s="7" t="s">
        <v>487</v>
      </c>
      <c r="G13" s="16">
        <v>16</v>
      </c>
      <c r="H13" s="26">
        <f t="shared" si="0"/>
        <v>16</v>
      </c>
      <c r="I13" s="16">
        <v>12</v>
      </c>
      <c r="J13" s="27">
        <f t="shared" si="1"/>
        <v>12.8</v>
      </c>
      <c r="K13" s="16">
        <v>6</v>
      </c>
      <c r="L13" s="28">
        <f t="shared" si="2"/>
        <v>6.4</v>
      </c>
      <c r="M13" s="16">
        <v>0</v>
      </c>
      <c r="N13" s="29">
        <f t="shared" si="3"/>
        <v>6.4</v>
      </c>
      <c r="O13" s="24">
        <f t="shared" si="4"/>
        <v>34</v>
      </c>
      <c r="P13" s="30">
        <f t="shared" si="5"/>
        <v>41.6</v>
      </c>
      <c r="Q13" s="31">
        <f t="shared" si="6"/>
        <v>0.817307692307692</v>
      </c>
    </row>
    <row r="14" ht="25.5" customHeight="1" spans="1:17">
      <c r="A14" s="24" t="s">
        <v>268</v>
      </c>
      <c r="B14" s="5" t="s">
        <v>488</v>
      </c>
      <c r="C14" s="5" t="s">
        <v>489</v>
      </c>
      <c r="D14" s="5">
        <v>2</v>
      </c>
      <c r="E14" s="25">
        <v>1</v>
      </c>
      <c r="F14" s="7" t="s">
        <v>490</v>
      </c>
      <c r="G14" s="16">
        <v>14</v>
      </c>
      <c r="H14" s="26">
        <f t="shared" si="0"/>
        <v>20</v>
      </c>
      <c r="I14" s="16">
        <v>12</v>
      </c>
      <c r="J14" s="27">
        <f t="shared" si="1"/>
        <v>16</v>
      </c>
      <c r="K14" s="16">
        <v>7</v>
      </c>
      <c r="L14" s="28">
        <f t="shared" si="2"/>
        <v>8</v>
      </c>
      <c r="M14" s="16">
        <v>0</v>
      </c>
      <c r="N14" s="29">
        <f t="shared" si="3"/>
        <v>8</v>
      </c>
      <c r="O14" s="24">
        <f t="shared" si="4"/>
        <v>33</v>
      </c>
      <c r="P14" s="30">
        <f t="shared" si="5"/>
        <v>52</v>
      </c>
      <c r="Q14" s="31">
        <f t="shared" si="6"/>
        <v>0.634615384615385</v>
      </c>
    </row>
    <row r="15" ht="25.5" customHeight="1" spans="1:17">
      <c r="A15" s="24" t="s">
        <v>291</v>
      </c>
      <c r="B15" s="5" t="s">
        <v>491</v>
      </c>
      <c r="C15" s="5" t="s">
        <v>492</v>
      </c>
      <c r="D15" s="5">
        <v>2</v>
      </c>
      <c r="E15" s="25">
        <v>1</v>
      </c>
      <c r="F15" s="7" t="s">
        <v>493</v>
      </c>
      <c r="G15" s="16">
        <v>17</v>
      </c>
      <c r="H15" s="26">
        <f t="shared" si="0"/>
        <v>20</v>
      </c>
      <c r="I15" s="16">
        <v>16</v>
      </c>
      <c r="J15" s="27">
        <f t="shared" si="1"/>
        <v>16</v>
      </c>
      <c r="K15" s="16">
        <v>8</v>
      </c>
      <c r="L15" s="28">
        <f t="shared" si="2"/>
        <v>8</v>
      </c>
      <c r="M15" s="16">
        <v>0</v>
      </c>
      <c r="N15" s="29">
        <f t="shared" si="3"/>
        <v>8</v>
      </c>
      <c r="O15" s="24">
        <f t="shared" si="4"/>
        <v>41</v>
      </c>
      <c r="P15" s="30">
        <f t="shared" si="5"/>
        <v>52</v>
      </c>
      <c r="Q15" s="31">
        <f t="shared" si="6"/>
        <v>0.788461538461538</v>
      </c>
    </row>
    <row r="16" ht="25.5" customHeight="1" spans="1:17">
      <c r="A16" s="24" t="s">
        <v>303</v>
      </c>
      <c r="B16" s="5" t="s">
        <v>494</v>
      </c>
      <c r="C16" s="5" t="s">
        <v>495</v>
      </c>
      <c r="D16" s="5">
        <v>2</v>
      </c>
      <c r="E16" s="25">
        <v>1</v>
      </c>
      <c r="F16" s="7" t="s">
        <v>496</v>
      </c>
      <c r="G16" s="16">
        <v>19</v>
      </c>
      <c r="H16" s="26">
        <f t="shared" si="0"/>
        <v>20</v>
      </c>
      <c r="I16" s="16">
        <v>15</v>
      </c>
      <c r="J16" s="27">
        <f t="shared" si="1"/>
        <v>16</v>
      </c>
      <c r="K16" s="16">
        <v>8</v>
      </c>
      <c r="L16" s="28">
        <f t="shared" si="2"/>
        <v>8</v>
      </c>
      <c r="M16" s="16">
        <v>4</v>
      </c>
      <c r="N16" s="29">
        <f t="shared" si="3"/>
        <v>8</v>
      </c>
      <c r="O16" s="24">
        <f t="shared" si="4"/>
        <v>46</v>
      </c>
      <c r="P16" s="30">
        <f t="shared" si="5"/>
        <v>52</v>
      </c>
      <c r="Q16" s="31">
        <f t="shared" si="6"/>
        <v>0.884615384615385</v>
      </c>
    </row>
    <row r="17" ht="25.5" customHeight="1" spans="1:17">
      <c r="A17" s="24" t="s">
        <v>328</v>
      </c>
      <c r="B17" s="5" t="s">
        <v>497</v>
      </c>
      <c r="C17" s="5" t="s">
        <v>42</v>
      </c>
      <c r="D17" s="5">
        <v>2</v>
      </c>
      <c r="E17" s="25">
        <v>1</v>
      </c>
      <c r="F17" s="7" t="s">
        <v>498</v>
      </c>
      <c r="G17" s="16">
        <v>19</v>
      </c>
      <c r="H17" s="26">
        <f t="shared" si="0"/>
        <v>20</v>
      </c>
      <c r="I17" s="16">
        <v>16</v>
      </c>
      <c r="J17" s="27">
        <f t="shared" si="1"/>
        <v>16</v>
      </c>
      <c r="K17" s="16">
        <v>8</v>
      </c>
      <c r="L17" s="28">
        <f t="shared" si="2"/>
        <v>8</v>
      </c>
      <c r="M17" s="16">
        <v>4</v>
      </c>
      <c r="N17" s="29">
        <f t="shared" si="3"/>
        <v>8</v>
      </c>
      <c r="O17" s="24">
        <f t="shared" si="4"/>
        <v>47</v>
      </c>
      <c r="P17" s="30">
        <f t="shared" si="5"/>
        <v>52</v>
      </c>
      <c r="Q17" s="31">
        <f t="shared" si="6"/>
        <v>0.903846153846154</v>
      </c>
    </row>
    <row r="18" ht="25.5" customHeight="1" spans="1:17">
      <c r="A18" s="24" t="s">
        <v>349</v>
      </c>
      <c r="B18" s="5" t="s">
        <v>499</v>
      </c>
      <c r="C18" s="5" t="s">
        <v>52</v>
      </c>
      <c r="D18" s="5">
        <v>2</v>
      </c>
      <c r="E18" s="25">
        <v>1</v>
      </c>
      <c r="F18" s="7" t="s">
        <v>500</v>
      </c>
      <c r="G18" s="16">
        <v>18</v>
      </c>
      <c r="H18" s="26">
        <f t="shared" si="0"/>
        <v>20</v>
      </c>
      <c r="I18" s="16">
        <v>16</v>
      </c>
      <c r="J18" s="27">
        <f t="shared" si="1"/>
        <v>16</v>
      </c>
      <c r="K18" s="16">
        <v>8</v>
      </c>
      <c r="L18" s="28">
        <f t="shared" si="2"/>
        <v>8</v>
      </c>
      <c r="M18" s="16">
        <v>6</v>
      </c>
      <c r="N18" s="29">
        <f t="shared" si="3"/>
        <v>8</v>
      </c>
      <c r="O18" s="24">
        <f t="shared" si="4"/>
        <v>48</v>
      </c>
      <c r="P18" s="30">
        <f t="shared" si="5"/>
        <v>52</v>
      </c>
      <c r="Q18" s="31">
        <f t="shared" si="6"/>
        <v>0.923076923076923</v>
      </c>
    </row>
    <row r="19" ht="25.5" customHeight="1" spans="1:17">
      <c r="A19" s="24" t="s">
        <v>382</v>
      </c>
      <c r="B19" s="5" t="s">
        <v>501</v>
      </c>
      <c r="C19" s="5" t="s">
        <v>502</v>
      </c>
      <c r="D19" s="5">
        <v>2</v>
      </c>
      <c r="E19" s="25">
        <v>1</v>
      </c>
      <c r="F19" s="7" t="s">
        <v>503</v>
      </c>
      <c r="G19" s="16">
        <v>18</v>
      </c>
      <c r="H19" s="26">
        <f t="shared" si="0"/>
        <v>20</v>
      </c>
      <c r="I19" s="16">
        <v>16</v>
      </c>
      <c r="J19" s="27">
        <f t="shared" si="1"/>
        <v>16</v>
      </c>
      <c r="K19" s="16">
        <v>8</v>
      </c>
      <c r="L19" s="28">
        <f t="shared" si="2"/>
        <v>8</v>
      </c>
      <c r="M19" s="16">
        <v>6</v>
      </c>
      <c r="N19" s="29">
        <f t="shared" si="3"/>
        <v>8</v>
      </c>
      <c r="O19" s="24">
        <f t="shared" si="4"/>
        <v>48</v>
      </c>
      <c r="P19" s="30">
        <f t="shared" si="5"/>
        <v>52</v>
      </c>
      <c r="Q19" s="31">
        <f t="shared" si="6"/>
        <v>0.923076923076923</v>
      </c>
    </row>
    <row r="20" ht="25.5" customHeight="1" spans="1:17">
      <c r="A20" s="24" t="s">
        <v>401</v>
      </c>
      <c r="B20" s="5" t="s">
        <v>504</v>
      </c>
      <c r="C20" s="5" t="s">
        <v>505</v>
      </c>
      <c r="D20" s="5">
        <v>2</v>
      </c>
      <c r="E20" s="25">
        <v>1</v>
      </c>
      <c r="F20" s="7" t="s">
        <v>506</v>
      </c>
      <c r="G20" s="16">
        <v>18</v>
      </c>
      <c r="H20" s="26">
        <f t="shared" si="0"/>
        <v>20</v>
      </c>
      <c r="I20" s="16">
        <v>16</v>
      </c>
      <c r="J20" s="27">
        <f t="shared" si="1"/>
        <v>16</v>
      </c>
      <c r="K20" s="16">
        <v>8</v>
      </c>
      <c r="L20" s="28">
        <f t="shared" si="2"/>
        <v>8</v>
      </c>
      <c r="M20" s="16">
        <v>0</v>
      </c>
      <c r="N20" s="29">
        <f t="shared" si="3"/>
        <v>8</v>
      </c>
      <c r="O20" s="24">
        <f t="shared" si="4"/>
        <v>42</v>
      </c>
      <c r="P20" s="30">
        <f t="shared" si="5"/>
        <v>52</v>
      </c>
      <c r="Q20" s="31">
        <f t="shared" si="6"/>
        <v>0.807692307692308</v>
      </c>
    </row>
    <row r="21" ht="25.5" customHeight="1" spans="1:17">
      <c r="A21" s="24" t="s">
        <v>414</v>
      </c>
      <c r="B21" s="5" t="s">
        <v>507</v>
      </c>
      <c r="C21" s="5" t="s">
        <v>508</v>
      </c>
      <c r="D21" s="5">
        <v>2</v>
      </c>
      <c r="E21" s="25">
        <v>1</v>
      </c>
      <c r="F21" s="7" t="s">
        <v>509</v>
      </c>
      <c r="G21" s="16">
        <v>11</v>
      </c>
      <c r="H21" s="26">
        <f t="shared" si="0"/>
        <v>20</v>
      </c>
      <c r="I21" s="16">
        <v>0</v>
      </c>
      <c r="J21" s="27">
        <f t="shared" si="1"/>
        <v>16</v>
      </c>
      <c r="K21" s="16">
        <v>0</v>
      </c>
      <c r="L21" s="28">
        <f t="shared" si="2"/>
        <v>8</v>
      </c>
      <c r="M21" s="16">
        <v>8</v>
      </c>
      <c r="N21" s="29">
        <f t="shared" si="3"/>
        <v>8</v>
      </c>
      <c r="O21" s="24">
        <f t="shared" si="4"/>
        <v>19</v>
      </c>
      <c r="P21" s="30">
        <f t="shared" si="5"/>
        <v>52</v>
      </c>
      <c r="Q21" s="31">
        <f t="shared" si="6"/>
        <v>0.365384615384615</v>
      </c>
    </row>
    <row r="22" spans="1:17">
      <c r="F22" s="8" t="s">
        <v>442</v>
      </c>
      <c r="G22" s="32">
        <f t="shared" ref="G22:P22" si="7">SUM(G5:G21)</f>
        <v>293</v>
      </c>
      <c r="H22" s="32">
        <f t="shared" si="7"/>
        <v>336</v>
      </c>
      <c r="I22" s="32">
        <f t="shared" si="7"/>
        <v>213</v>
      </c>
      <c r="J22" s="32">
        <f t="shared" si="7"/>
        <v>268.8</v>
      </c>
      <c r="K22" s="32">
        <f t="shared" si="7"/>
        <v>109</v>
      </c>
      <c r="L22" s="32">
        <f t="shared" si="7"/>
        <v>134.4</v>
      </c>
      <c r="M22" s="32">
        <f t="shared" si="7"/>
        <v>38</v>
      </c>
      <c r="N22" s="32">
        <f t="shared" si="7"/>
        <v>134.4</v>
      </c>
      <c r="O22" s="32">
        <f t="shared" si="7"/>
        <v>653</v>
      </c>
      <c r="P22" s="32">
        <f t="shared" si="7"/>
        <v>873.6</v>
      </c>
      <c r="Q22" s="33">
        <f>O22/P22</f>
        <v>0.747481684981685</v>
      </c>
    </row>
    <row r="23" ht="15" customHeight="1" spans="1:17">
      <c r="A23" s="23" t="s">
        <v>510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</row>
    <row r="25" spans="1:17">
      <c r="A25" s="2" t="s">
        <v>511</v>
      </c>
    </row>
    <row r="26" ht="30" customHeight="1" spans="1:17">
      <c r="A26" s="3" t="s">
        <v>70</v>
      </c>
      <c r="B26" s="3" t="s">
        <v>512</v>
      </c>
      <c r="C26" s="3" t="s">
        <v>513</v>
      </c>
      <c r="D26" s="3" t="s">
        <v>514</v>
      </c>
      <c r="E26" s="3" t="s">
        <v>515</v>
      </c>
      <c r="F26" s="3" t="s">
        <v>516</v>
      </c>
      <c r="G26" s="3" t="s">
        <v>517</v>
      </c>
    </row>
    <row r="27" ht="26.4" spans="1:17">
      <c r="A27" s="34" t="s">
        <v>80</v>
      </c>
      <c r="B27" s="7" t="s">
        <v>518</v>
      </c>
      <c r="C27" s="5" t="s">
        <v>519</v>
      </c>
      <c r="D27" s="35">
        <v>262</v>
      </c>
      <c r="E27" s="35">
        <v>296</v>
      </c>
      <c r="F27" s="36">
        <f>(E27-D27)/E27</f>
        <v>0.114864864864865</v>
      </c>
      <c r="G27" s="7" t="str">
        <f>IF(F27&lt;0.05,"HIGH RISK — add 1 dev",IF(F27&lt;0.15,"Tight — needs scope discipline","Acceptable"))</f>
        <v>Tight — needs scope discipline</v>
      </c>
    </row>
    <row r="28" spans="1:17">
      <c r="A28" s="37" t="s">
        <v>85</v>
      </c>
      <c r="B28" s="7" t="s">
        <v>520</v>
      </c>
      <c r="C28" s="5" t="s">
        <v>521</v>
      </c>
      <c r="D28" s="35">
        <v>197</v>
      </c>
      <c r="E28" s="35">
        <v>204.8</v>
      </c>
      <c r="F28" s="36">
        <f>(E28-D28)/E28</f>
        <v>0.0380859375000001</v>
      </c>
      <c r="G28" s="7" t="str">
        <f>IF(F28&lt;0.05,"HIGH RISK — add 1 dev",IF(F28&lt;0.15,"Tight — needs scope discipline","Acceptable"))</f>
        <v>HIGH RISK — add 1 dev</v>
      </c>
    </row>
    <row r="29" spans="1:17">
      <c r="A29" s="38" t="s">
        <v>89</v>
      </c>
      <c r="B29" s="7" t="s">
        <v>522</v>
      </c>
      <c r="C29" s="5" t="s">
        <v>523</v>
      </c>
      <c r="D29" s="35">
        <v>101</v>
      </c>
      <c r="E29" s="35">
        <v>110.4</v>
      </c>
      <c r="F29" s="36">
        <f>(E29-D29)/E29</f>
        <v>0.0851449275362319</v>
      </c>
      <c r="G29" s="7" t="str">
        <f>IF(F29&lt;0.05,"HIGH RISK — add 1 dev",IF(F29&lt;0.15,"Tight — needs scope discipline","Acceptable"))</f>
        <v>Tight — needs scope discipline</v>
      </c>
    </row>
    <row r="30" spans="1:17">
      <c r="A30" s="39" t="s">
        <v>152</v>
      </c>
      <c r="B30" s="7" t="s">
        <v>524</v>
      </c>
      <c r="C30" s="5" t="s">
        <v>525</v>
      </c>
      <c r="D30" s="35">
        <v>38</v>
      </c>
      <c r="E30" s="35">
        <v>110.4</v>
      </c>
      <c r="F30" s="36">
        <f>(E30-D30)/E30</f>
        <v>0.655797101449275</v>
      </c>
      <c r="G30" s="7" t="str">
        <f>IF(F30&lt;0.05,"HIGH RISK — add 1 dev",IF(F30&lt;0.15,"Tight — needs scope discipline","Acceptable"))</f>
        <v>Acceptable</v>
      </c>
    </row>
    <row r="32" ht="15" customHeight="1" spans="1:17">
      <c r="A32" s="23" t="s">
        <v>526</v>
      </c>
      <c r="B32" s="23"/>
      <c r="C32" s="23"/>
      <c r="D32" s="23"/>
      <c r="E32" s="23"/>
      <c r="F32" s="23"/>
      <c r="G32" s="23"/>
    </row>
  </sheetData>
  <mergeCells count="2">
    <mergeCell ref="A23:Q23"/>
    <mergeCell ref="A32:G3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showGridLines="0" workbookViewId="0">
      <pane ySplit="4" topLeftCell="A5" activePane="bottomLeft" state="frozen"/>
      <selection/>
      <selection pane="bottomLeft" activeCell="A1" sqref="A1"/>
    </sheetView>
  </sheetViews>
  <sheetFormatPr defaultColWidth="8.67592592592593" defaultRowHeight="14.4" outlineLevelCol="4"/>
  <cols>
    <col min="1" max="1" width="7" customWidth="1"/>
    <col min="2" max="2" width="34" customWidth="1"/>
    <col min="3" max="3" width="14" customWidth="1"/>
    <col min="4" max="4" width="9" customWidth="1"/>
    <col min="5" max="5" width="90" customWidth="1"/>
  </cols>
  <sheetData>
    <row r="1" ht="21" spans="1:5">
      <c r="A1" s="1" t="s">
        <v>527</v>
      </c>
    </row>
    <row r="4" ht="30" customHeight="1" spans="1:5">
      <c r="A4" s="3" t="s">
        <v>528</v>
      </c>
      <c r="B4" s="3" t="s">
        <v>529</v>
      </c>
      <c r="C4" s="3" t="s">
        <v>530</v>
      </c>
      <c r="D4" s="3" t="s">
        <v>71</v>
      </c>
      <c r="E4" s="3" t="s">
        <v>531</v>
      </c>
    </row>
    <row r="5" ht="36" customHeight="1" spans="1:5">
      <c r="A5" s="5" t="s">
        <v>532</v>
      </c>
      <c r="B5" s="4" t="s">
        <v>533</v>
      </c>
      <c r="C5" s="5" t="s">
        <v>471</v>
      </c>
      <c r="D5" s="5" t="s">
        <v>125</v>
      </c>
      <c r="E5" s="7" t="s">
        <v>534</v>
      </c>
    </row>
    <row r="6" ht="36" customHeight="1" spans="1:5">
      <c r="A6" s="5" t="s">
        <v>535</v>
      </c>
      <c r="B6" s="4" t="s">
        <v>536</v>
      </c>
      <c r="C6" s="5" t="s">
        <v>483</v>
      </c>
      <c r="D6" s="5" t="s">
        <v>234</v>
      </c>
      <c r="E6" s="7" t="s">
        <v>537</v>
      </c>
    </row>
    <row r="7" ht="36" customHeight="1" spans="1:5">
      <c r="A7" s="5" t="s">
        <v>538</v>
      </c>
      <c r="B7" s="4" t="s">
        <v>539</v>
      </c>
      <c r="C7" s="5" t="s">
        <v>42</v>
      </c>
      <c r="D7" s="5" t="s">
        <v>328</v>
      </c>
      <c r="E7" s="7" t="s">
        <v>540</v>
      </c>
    </row>
    <row r="8" ht="36" customHeight="1" spans="1:5">
      <c r="A8" s="5" t="s">
        <v>541</v>
      </c>
      <c r="B8" s="4" t="s">
        <v>542</v>
      </c>
      <c r="C8" s="5" t="s">
        <v>502</v>
      </c>
      <c r="D8" s="5" t="s">
        <v>382</v>
      </c>
      <c r="E8" s="7" t="s">
        <v>543</v>
      </c>
    </row>
    <row r="9" ht="36" customHeight="1" spans="1:5">
      <c r="A9" s="5" t="s">
        <v>544</v>
      </c>
      <c r="B9" s="4" t="s">
        <v>545</v>
      </c>
      <c r="C9" s="5" t="s">
        <v>505</v>
      </c>
      <c r="D9" s="5" t="s">
        <v>401</v>
      </c>
      <c r="E9" s="7" t="s">
        <v>546</v>
      </c>
    </row>
    <row r="10" ht="36" customHeight="1" spans="1:5">
      <c r="A10" s="20" t="s">
        <v>547</v>
      </c>
      <c r="B10" s="21" t="s">
        <v>548</v>
      </c>
      <c r="C10" s="20" t="s">
        <v>47</v>
      </c>
      <c r="D10" s="20" t="s">
        <v>414</v>
      </c>
      <c r="E10" s="22" t="s">
        <v>549</v>
      </c>
    </row>
    <row r="13" ht="15" customHeight="1" spans="1:5">
      <c r="A13" s="23" t="s">
        <v>550</v>
      </c>
      <c r="B13" s="23"/>
      <c r="C13" s="23"/>
      <c r="D13" s="23"/>
      <c r="E13" s="23"/>
    </row>
  </sheetData>
  <mergeCells count="1">
    <mergeCell ref="A13:E13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showGridLines="0" workbookViewId="0">
      <pane ySplit="4" topLeftCell="A5" activePane="bottomLeft" state="frozen"/>
      <selection/>
      <selection pane="bottomLeft" activeCell="A1" sqref="A1"/>
    </sheetView>
  </sheetViews>
  <sheetFormatPr defaultColWidth="8.67592592592593" defaultRowHeight="14.4" outlineLevelCol="5"/>
  <cols>
    <col min="1" max="1" width="7" customWidth="1"/>
    <col min="2" max="2" width="48" customWidth="1"/>
    <col min="3" max="3" width="36" customWidth="1"/>
    <col min="4" max="4" width="54" customWidth="1"/>
    <col min="5" max="5" width="15" customWidth="1"/>
    <col min="6" max="6" width="11" customWidth="1"/>
  </cols>
  <sheetData>
    <row r="1" ht="21" spans="1:6">
      <c r="A1" s="1" t="s">
        <v>551</v>
      </c>
    </row>
    <row r="2" spans="1:6">
      <c r="A2" s="12" t="s">
        <v>552</v>
      </c>
    </row>
    <row r="4" ht="30" customHeight="1" spans="1:6">
      <c r="A4" s="3" t="s">
        <v>528</v>
      </c>
      <c r="B4" s="3" t="s">
        <v>553</v>
      </c>
      <c r="C4" s="3" t="s">
        <v>67</v>
      </c>
      <c r="D4" s="3" t="s">
        <v>554</v>
      </c>
      <c r="E4" s="3" t="s">
        <v>69</v>
      </c>
      <c r="F4" s="3" t="s">
        <v>555</v>
      </c>
    </row>
    <row r="5" ht="30" customHeight="1" spans="1:6">
      <c r="A5" s="5" t="s">
        <v>556</v>
      </c>
      <c r="B5" s="7" t="s">
        <v>557</v>
      </c>
      <c r="C5" s="7" t="s">
        <v>558</v>
      </c>
      <c r="D5" s="7" t="s">
        <v>559</v>
      </c>
      <c r="E5" s="16">
        <v>12</v>
      </c>
      <c r="F5" s="17" t="s">
        <v>560</v>
      </c>
    </row>
    <row r="6" ht="30" customHeight="1" spans="1:6">
      <c r="A6" s="5" t="s">
        <v>561</v>
      </c>
      <c r="B6" s="7" t="s">
        <v>562</v>
      </c>
      <c r="C6" s="7" t="s">
        <v>174</v>
      </c>
      <c r="D6" s="7" t="s">
        <v>563</v>
      </c>
      <c r="E6" s="16">
        <v>16</v>
      </c>
      <c r="F6" s="17" t="s">
        <v>560</v>
      </c>
    </row>
    <row r="7" ht="30" customHeight="1" spans="1:6">
      <c r="A7" s="5" t="s">
        <v>564</v>
      </c>
      <c r="B7" s="7" t="s">
        <v>565</v>
      </c>
      <c r="C7" s="7" t="s">
        <v>397</v>
      </c>
      <c r="D7" s="7" t="s">
        <v>566</v>
      </c>
      <c r="E7" s="16">
        <v>20</v>
      </c>
      <c r="F7" s="17" t="s">
        <v>560</v>
      </c>
    </row>
    <row r="8" ht="30" customHeight="1" spans="1:6">
      <c r="A8" s="5" t="s">
        <v>567</v>
      </c>
      <c r="B8" s="7" t="s">
        <v>568</v>
      </c>
      <c r="C8" s="7" t="s">
        <v>145</v>
      </c>
      <c r="D8" s="7" t="s">
        <v>569</v>
      </c>
      <c r="E8" s="16">
        <v>8</v>
      </c>
      <c r="F8" s="17" t="s">
        <v>560</v>
      </c>
    </row>
    <row r="9" ht="30" customHeight="1" spans="1:6">
      <c r="A9" s="5" t="s">
        <v>570</v>
      </c>
      <c r="B9" s="7" t="s">
        <v>571</v>
      </c>
      <c r="C9" s="7" t="s">
        <v>145</v>
      </c>
      <c r="D9" s="7" t="s">
        <v>572</v>
      </c>
      <c r="E9" s="16">
        <v>6</v>
      </c>
      <c r="F9" s="18" t="s">
        <v>573</v>
      </c>
    </row>
    <row r="10" ht="30" customHeight="1" spans="1:6">
      <c r="A10" s="5" t="s">
        <v>574</v>
      </c>
      <c r="B10" s="7" t="s">
        <v>575</v>
      </c>
      <c r="C10" s="7" t="s">
        <v>214</v>
      </c>
      <c r="D10" s="7" t="s">
        <v>576</v>
      </c>
      <c r="E10" s="16">
        <v>14</v>
      </c>
      <c r="F10" s="17" t="s">
        <v>560</v>
      </c>
    </row>
    <row r="11" ht="30" customHeight="1" spans="1:6">
      <c r="A11" s="5" t="s">
        <v>577</v>
      </c>
      <c r="B11" s="7" t="s">
        <v>578</v>
      </c>
      <c r="C11" s="7" t="s">
        <v>214</v>
      </c>
      <c r="D11" s="7" t="s">
        <v>579</v>
      </c>
      <c r="E11" s="16">
        <v>12</v>
      </c>
      <c r="F11" s="17" t="s">
        <v>560</v>
      </c>
    </row>
    <row r="12" ht="30" customHeight="1" spans="1:6">
      <c r="A12" s="5" t="s">
        <v>580</v>
      </c>
      <c r="B12" s="7" t="s">
        <v>581</v>
      </c>
      <c r="C12" s="7" t="s">
        <v>309</v>
      </c>
      <c r="D12" s="7" t="s">
        <v>582</v>
      </c>
      <c r="E12" s="16">
        <v>10</v>
      </c>
      <c r="F12" s="17" t="s">
        <v>560</v>
      </c>
    </row>
    <row r="13" ht="30" customHeight="1" spans="1:6">
      <c r="A13" s="5" t="s">
        <v>583</v>
      </c>
      <c r="B13" s="7" t="s">
        <v>584</v>
      </c>
      <c r="C13" s="7" t="s">
        <v>135</v>
      </c>
      <c r="D13" s="7" t="s">
        <v>585</v>
      </c>
      <c r="E13" s="16">
        <v>10</v>
      </c>
      <c r="F13" s="17" t="s">
        <v>560</v>
      </c>
    </row>
    <row r="14" ht="30" customHeight="1" spans="1:6">
      <c r="A14" s="5" t="s">
        <v>586</v>
      </c>
      <c r="B14" s="7" t="s">
        <v>587</v>
      </c>
      <c r="C14" s="7" t="s">
        <v>367</v>
      </c>
      <c r="D14" s="7" t="s">
        <v>588</v>
      </c>
      <c r="E14" s="16">
        <v>8</v>
      </c>
      <c r="F14" s="17" t="s">
        <v>560</v>
      </c>
    </row>
    <row r="15" ht="30" customHeight="1" spans="1:6">
      <c r="A15" s="5" t="s">
        <v>589</v>
      </c>
      <c r="B15" s="7" t="s">
        <v>590</v>
      </c>
      <c r="C15" s="7" t="s">
        <v>367</v>
      </c>
      <c r="D15" s="7" t="s">
        <v>591</v>
      </c>
      <c r="E15" s="16">
        <v>10</v>
      </c>
      <c r="F15" s="18" t="s">
        <v>573</v>
      </c>
    </row>
    <row r="16" ht="30" customHeight="1" spans="1:6">
      <c r="A16" s="5" t="s">
        <v>592</v>
      </c>
      <c r="B16" s="7" t="s">
        <v>593</v>
      </c>
      <c r="C16" s="7" t="s">
        <v>594</v>
      </c>
      <c r="D16" s="7" t="s">
        <v>595</v>
      </c>
      <c r="E16" s="16">
        <v>12</v>
      </c>
      <c r="F16" s="17" t="s">
        <v>560</v>
      </c>
    </row>
    <row r="17" ht="30" customHeight="1" spans="1:6">
      <c r="A17" s="5" t="s">
        <v>596</v>
      </c>
      <c r="B17" s="7" t="s">
        <v>597</v>
      </c>
      <c r="C17" s="7" t="s">
        <v>145</v>
      </c>
      <c r="D17" s="7" t="s">
        <v>598</v>
      </c>
      <c r="E17" s="16">
        <v>10</v>
      </c>
      <c r="F17" s="17" t="s">
        <v>560</v>
      </c>
    </row>
    <row r="18" ht="30" customHeight="1" spans="1:6">
      <c r="A18" s="5" t="s">
        <v>599</v>
      </c>
      <c r="B18" s="7" t="s">
        <v>600</v>
      </c>
      <c r="C18" s="7" t="s">
        <v>367</v>
      </c>
      <c r="D18" s="7" t="s">
        <v>601</v>
      </c>
      <c r="E18" s="16">
        <v>14</v>
      </c>
      <c r="F18" s="17" t="s">
        <v>560</v>
      </c>
    </row>
    <row r="19" ht="30" customHeight="1" spans="1:6">
      <c r="A19" s="5" t="s">
        <v>602</v>
      </c>
      <c r="B19" s="7" t="s">
        <v>603</v>
      </c>
      <c r="C19" s="7" t="s">
        <v>224</v>
      </c>
      <c r="D19" s="7" t="s">
        <v>604</v>
      </c>
      <c r="E19" s="16">
        <v>10</v>
      </c>
      <c r="F19" s="17" t="s">
        <v>560</v>
      </c>
    </row>
    <row r="20" ht="30" customHeight="1" spans="1:6">
      <c r="A20" s="5" t="s">
        <v>605</v>
      </c>
      <c r="B20" s="7" t="s">
        <v>606</v>
      </c>
      <c r="C20" s="7" t="s">
        <v>397</v>
      </c>
      <c r="D20" s="7" t="s">
        <v>607</v>
      </c>
      <c r="E20" s="16">
        <v>8</v>
      </c>
      <c r="F20" s="18" t="s">
        <v>573</v>
      </c>
    </row>
    <row r="21" ht="30" customHeight="1" spans="1:6">
      <c r="A21" s="5" t="s">
        <v>608</v>
      </c>
      <c r="B21" s="7" t="s">
        <v>609</v>
      </c>
      <c r="C21" s="7" t="s">
        <v>174</v>
      </c>
      <c r="D21" s="7" t="s">
        <v>610</v>
      </c>
      <c r="E21" s="16">
        <v>8</v>
      </c>
      <c r="F21" s="17" t="s">
        <v>560</v>
      </c>
    </row>
    <row r="22" ht="30" customHeight="1" spans="1:6">
      <c r="A22" s="5" t="s">
        <v>611</v>
      </c>
      <c r="B22" s="7" t="s">
        <v>612</v>
      </c>
      <c r="C22" s="7" t="s">
        <v>174</v>
      </c>
      <c r="D22" s="7" t="s">
        <v>613</v>
      </c>
      <c r="E22" s="16">
        <v>5</v>
      </c>
      <c r="F22" s="17" t="s">
        <v>560</v>
      </c>
    </row>
    <row r="23" ht="30" customHeight="1" spans="1:6">
      <c r="A23" s="5" t="s">
        <v>614</v>
      </c>
      <c r="B23" s="7" t="s">
        <v>615</v>
      </c>
      <c r="C23" s="7" t="s">
        <v>105</v>
      </c>
      <c r="D23" s="7" t="s">
        <v>616</v>
      </c>
      <c r="E23" s="16">
        <v>8</v>
      </c>
      <c r="F23" s="18" t="s">
        <v>573</v>
      </c>
    </row>
    <row r="24" ht="30" customHeight="1" spans="1:6">
      <c r="A24" s="5" t="s">
        <v>617</v>
      </c>
      <c r="B24" s="7" t="s">
        <v>618</v>
      </c>
      <c r="C24" s="7" t="s">
        <v>101</v>
      </c>
      <c r="D24" s="7" t="s">
        <v>619</v>
      </c>
      <c r="E24" s="16">
        <v>6</v>
      </c>
      <c r="F24" s="17" t="s">
        <v>560</v>
      </c>
    </row>
    <row r="25" ht="30" customHeight="1" spans="1:6">
      <c r="A25" s="5" t="s">
        <v>620</v>
      </c>
      <c r="B25" s="7" t="s">
        <v>621</v>
      </c>
      <c r="C25" s="7" t="s">
        <v>622</v>
      </c>
      <c r="D25" s="7" t="s">
        <v>623</v>
      </c>
      <c r="E25" s="16">
        <v>0</v>
      </c>
      <c r="F25" s="18" t="s">
        <v>573</v>
      </c>
    </row>
    <row r="26" ht="30" customHeight="1" spans="1:6">
      <c r="A26" s="5" t="s">
        <v>624</v>
      </c>
      <c r="B26" s="7" t="s">
        <v>625</v>
      </c>
      <c r="C26" s="7" t="s">
        <v>622</v>
      </c>
      <c r="D26" s="7" t="s">
        <v>623</v>
      </c>
      <c r="E26" s="16">
        <v>0</v>
      </c>
      <c r="F26" s="18" t="s">
        <v>573</v>
      </c>
    </row>
    <row r="27" spans="1:6">
      <c r="B27" s="8" t="s">
        <v>442</v>
      </c>
      <c r="E27" s="19">
        <f>SUM(E5:E26)</f>
        <v>207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showGridLines="0" workbookViewId="0">
      <pane ySplit="4" topLeftCell="A7" activePane="bottomLeft" state="frozen"/>
      <selection/>
      <selection pane="bottomLeft" activeCell="A1" sqref="A1"/>
    </sheetView>
  </sheetViews>
  <sheetFormatPr defaultColWidth="8.67592592592593" defaultRowHeight="14.4" outlineLevelCol="7"/>
  <cols>
    <col min="1" max="1" width="7" customWidth="1"/>
    <col min="2" max="2" width="54" customWidth="1"/>
    <col min="3" max="3" width="14" customWidth="1"/>
    <col min="4" max="5" width="11" customWidth="1"/>
    <col min="6" max="6" width="8" customWidth="1"/>
    <col min="7" max="7" width="70" customWidth="1"/>
    <col min="8" max="8" width="22" customWidth="1"/>
  </cols>
  <sheetData>
    <row r="1" ht="21" spans="1:8">
      <c r="A1" s="1" t="s">
        <v>626</v>
      </c>
    </row>
    <row r="2" spans="1:8">
      <c r="A2" s="12" t="s">
        <v>627</v>
      </c>
    </row>
    <row r="4" ht="30" customHeight="1" spans="1:8">
      <c r="A4" s="3" t="s">
        <v>528</v>
      </c>
      <c r="B4" s="3" t="s">
        <v>628</v>
      </c>
      <c r="C4" s="3" t="s">
        <v>629</v>
      </c>
      <c r="D4" s="3" t="s">
        <v>630</v>
      </c>
      <c r="E4" s="3" t="s">
        <v>631</v>
      </c>
      <c r="F4" s="3" t="s">
        <v>632</v>
      </c>
      <c r="G4" s="3" t="s">
        <v>633</v>
      </c>
      <c r="H4" s="3" t="s">
        <v>634</v>
      </c>
    </row>
    <row r="5" ht="45.75" customHeight="1" spans="1:8">
      <c r="A5" s="5" t="s">
        <v>635</v>
      </c>
      <c r="B5" s="7" t="s">
        <v>636</v>
      </c>
      <c r="C5" s="7" t="s">
        <v>637</v>
      </c>
      <c r="D5" s="5" t="s">
        <v>638</v>
      </c>
      <c r="E5" s="5" t="s">
        <v>638</v>
      </c>
      <c r="F5" s="13">
        <v>25</v>
      </c>
      <c r="G5" s="7" t="s">
        <v>639</v>
      </c>
      <c r="H5" s="7" t="s">
        <v>640</v>
      </c>
    </row>
    <row r="6" ht="45.75" customHeight="1" spans="1:8">
      <c r="A6" s="5" t="s">
        <v>641</v>
      </c>
      <c r="B6" s="7" t="s">
        <v>642</v>
      </c>
      <c r="C6" s="7" t="s">
        <v>637</v>
      </c>
      <c r="D6" s="5" t="s">
        <v>638</v>
      </c>
      <c r="E6" s="5" t="s">
        <v>638</v>
      </c>
      <c r="F6" s="13">
        <v>20</v>
      </c>
      <c r="G6" s="7" t="s">
        <v>643</v>
      </c>
      <c r="H6" s="7" t="s">
        <v>644</v>
      </c>
    </row>
    <row r="7" ht="45.75" customHeight="1" spans="1:8">
      <c r="A7" s="5" t="s">
        <v>645</v>
      </c>
      <c r="B7" s="7" t="s">
        <v>646</v>
      </c>
      <c r="C7" s="7" t="s">
        <v>647</v>
      </c>
      <c r="D7" s="5" t="s">
        <v>638</v>
      </c>
      <c r="E7" s="5" t="s">
        <v>638</v>
      </c>
      <c r="F7" s="13">
        <v>20</v>
      </c>
      <c r="G7" s="7" t="s">
        <v>648</v>
      </c>
      <c r="H7" s="7" t="s">
        <v>644</v>
      </c>
    </row>
    <row r="8" ht="45.75" customHeight="1" spans="1:8">
      <c r="A8" s="5" t="s">
        <v>649</v>
      </c>
      <c r="B8" s="7" t="s">
        <v>650</v>
      </c>
      <c r="C8" s="7" t="s">
        <v>647</v>
      </c>
      <c r="D8" s="5" t="s">
        <v>638</v>
      </c>
      <c r="E8" s="5" t="s">
        <v>651</v>
      </c>
      <c r="F8" s="14">
        <v>15</v>
      </c>
      <c r="G8" s="7" t="s">
        <v>652</v>
      </c>
      <c r="H8" s="7" t="s">
        <v>653</v>
      </c>
    </row>
    <row r="9" ht="45.75" customHeight="1" spans="1:8">
      <c r="A9" s="5" t="s">
        <v>654</v>
      </c>
      <c r="B9" s="7" t="s">
        <v>655</v>
      </c>
      <c r="C9" s="7" t="s">
        <v>656</v>
      </c>
      <c r="D9" s="5" t="s">
        <v>638</v>
      </c>
      <c r="E9" s="5" t="s">
        <v>651</v>
      </c>
      <c r="F9" s="14">
        <v>15</v>
      </c>
      <c r="G9" s="7" t="s">
        <v>657</v>
      </c>
      <c r="H9" s="7" t="s">
        <v>658</v>
      </c>
    </row>
    <row r="10" ht="45.75" customHeight="1" spans="1:8">
      <c r="A10" s="5" t="s">
        <v>659</v>
      </c>
      <c r="B10" s="7" t="s">
        <v>660</v>
      </c>
      <c r="C10" s="7" t="s">
        <v>661</v>
      </c>
      <c r="D10" s="5" t="s">
        <v>638</v>
      </c>
      <c r="E10" s="5" t="s">
        <v>651</v>
      </c>
      <c r="F10" s="14">
        <v>15</v>
      </c>
      <c r="G10" s="7" t="s">
        <v>662</v>
      </c>
      <c r="H10" s="7" t="s">
        <v>663</v>
      </c>
    </row>
    <row r="11" ht="45.75" customHeight="1" spans="1:8">
      <c r="A11" s="5" t="s">
        <v>664</v>
      </c>
      <c r="B11" s="7" t="s">
        <v>665</v>
      </c>
      <c r="C11" s="7" t="s">
        <v>666</v>
      </c>
      <c r="D11" s="5" t="s">
        <v>638</v>
      </c>
      <c r="E11" s="5" t="s">
        <v>651</v>
      </c>
      <c r="F11" s="14">
        <v>15</v>
      </c>
      <c r="G11" s="7" t="s">
        <v>667</v>
      </c>
      <c r="H11" s="7" t="s">
        <v>668</v>
      </c>
    </row>
    <row r="12" ht="45.75" customHeight="1" spans="1:8">
      <c r="A12" s="5" t="s">
        <v>669</v>
      </c>
      <c r="B12" s="7" t="s">
        <v>670</v>
      </c>
      <c r="C12" s="7" t="s">
        <v>637</v>
      </c>
      <c r="D12" s="5" t="s">
        <v>638</v>
      </c>
      <c r="E12" s="5" t="s">
        <v>651</v>
      </c>
      <c r="F12" s="14">
        <v>15</v>
      </c>
      <c r="G12" s="7" t="s">
        <v>671</v>
      </c>
      <c r="H12" s="7" t="s">
        <v>672</v>
      </c>
    </row>
    <row r="13" ht="45.75" customHeight="1" spans="1:8">
      <c r="A13" s="5" t="s">
        <v>673</v>
      </c>
      <c r="B13" s="7" t="s">
        <v>674</v>
      </c>
      <c r="C13" s="7" t="s">
        <v>647</v>
      </c>
      <c r="D13" s="5" t="s">
        <v>651</v>
      </c>
      <c r="E13" s="5" t="s">
        <v>638</v>
      </c>
      <c r="F13" s="14">
        <v>12</v>
      </c>
      <c r="G13" s="7" t="s">
        <v>675</v>
      </c>
      <c r="H13" s="7" t="s">
        <v>644</v>
      </c>
    </row>
    <row r="14" ht="45.75" customHeight="1" spans="1:8">
      <c r="A14" s="5" t="s">
        <v>676</v>
      </c>
      <c r="B14" s="7" t="s">
        <v>677</v>
      </c>
      <c r="C14" s="7" t="s">
        <v>678</v>
      </c>
      <c r="D14" s="5" t="s">
        <v>651</v>
      </c>
      <c r="E14" s="5" t="s">
        <v>638</v>
      </c>
      <c r="F14" s="14">
        <v>12</v>
      </c>
      <c r="G14" s="7" t="s">
        <v>679</v>
      </c>
      <c r="H14" s="7" t="s">
        <v>680</v>
      </c>
    </row>
    <row r="15" ht="45.75" customHeight="1" spans="1:8">
      <c r="A15" s="5" t="s">
        <v>681</v>
      </c>
      <c r="B15" s="7" t="s">
        <v>682</v>
      </c>
      <c r="C15" s="7" t="s">
        <v>683</v>
      </c>
      <c r="D15" s="5" t="s">
        <v>651</v>
      </c>
      <c r="E15" s="5" t="s">
        <v>651</v>
      </c>
      <c r="F15" s="15">
        <v>9</v>
      </c>
      <c r="G15" s="7" t="s">
        <v>684</v>
      </c>
      <c r="H15" s="7" t="s">
        <v>644</v>
      </c>
    </row>
    <row r="16" ht="45.75" customHeight="1" spans="1:8">
      <c r="A16" s="5" t="s">
        <v>685</v>
      </c>
      <c r="B16" s="7" t="s">
        <v>686</v>
      </c>
      <c r="C16" s="7" t="s">
        <v>687</v>
      </c>
      <c r="D16" s="5" t="s">
        <v>651</v>
      </c>
      <c r="E16" s="5" t="s">
        <v>651</v>
      </c>
      <c r="F16" s="15">
        <v>9</v>
      </c>
      <c r="G16" s="7" t="s">
        <v>688</v>
      </c>
      <c r="H16" s="7" t="s">
        <v>689</v>
      </c>
    </row>
  </sheetData>
  <autoFilter xmlns:etc="http://www.wps.cn/officeDocument/2017/etCustomData" ref="A4:H16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4"/>
  <sheetViews>
    <sheetView showGridLines="0" workbookViewId="0">
      <selection activeCell="A1" sqref="A1"/>
    </sheetView>
  </sheetViews>
  <sheetFormatPr defaultColWidth="8.67592592592593" defaultRowHeight="14.4" outlineLevelCol="4"/>
  <cols>
    <col min="1" max="1" width="26" customWidth="1"/>
    <col min="2" max="2" width="20" customWidth="1"/>
    <col min="3" max="3" width="14" customWidth="1"/>
    <col min="4" max="4" width="32" customWidth="1"/>
    <col min="5" max="5" width="52" customWidth="1"/>
  </cols>
  <sheetData>
    <row r="1" ht="21" spans="1:5">
      <c r="A1" s="1" t="s">
        <v>690</v>
      </c>
    </row>
    <row r="4" spans="1:5">
      <c r="A4" s="2" t="s">
        <v>691</v>
      </c>
    </row>
    <row r="5" ht="30" customHeight="1" spans="1:5">
      <c r="A5" s="3" t="s">
        <v>692</v>
      </c>
      <c r="B5" s="3" t="s">
        <v>693</v>
      </c>
      <c r="C5" s="3" t="s">
        <v>694</v>
      </c>
      <c r="D5" s="3" t="s">
        <v>695</v>
      </c>
      <c r="E5" s="3" t="s">
        <v>696</v>
      </c>
    </row>
    <row r="6" ht="42" customHeight="1" spans="1:5">
      <c r="A6" s="4" t="s">
        <v>697</v>
      </c>
      <c r="B6" s="5">
        <v>1</v>
      </c>
      <c r="C6" s="6">
        <v>0</v>
      </c>
      <c r="D6" s="7" t="s">
        <v>698</v>
      </c>
      <c r="E6" s="7" t="s">
        <v>699</v>
      </c>
    </row>
    <row r="7" ht="42" customHeight="1" spans="1:5">
      <c r="A7" s="4" t="s">
        <v>700</v>
      </c>
      <c r="B7" s="5">
        <v>1</v>
      </c>
      <c r="C7" s="6">
        <v>0.5</v>
      </c>
      <c r="D7" s="7" t="s">
        <v>701</v>
      </c>
      <c r="E7" s="7" t="s">
        <v>702</v>
      </c>
    </row>
    <row r="8" ht="42" customHeight="1" spans="1:5">
      <c r="A8" s="4" t="s">
        <v>703</v>
      </c>
      <c r="B8" s="5">
        <v>4</v>
      </c>
      <c r="C8" s="6">
        <v>4</v>
      </c>
      <c r="D8" s="7" t="s">
        <v>704</v>
      </c>
      <c r="E8" s="7" t="s">
        <v>705</v>
      </c>
    </row>
    <row r="9" ht="42" customHeight="1" spans="1:5">
      <c r="A9" s="4" t="s">
        <v>706</v>
      </c>
      <c r="B9" s="5">
        <v>1</v>
      </c>
      <c r="C9" s="6">
        <v>1</v>
      </c>
      <c r="D9" s="7" t="s">
        <v>707</v>
      </c>
      <c r="E9" s="7" t="s">
        <v>708</v>
      </c>
    </row>
    <row r="10" ht="42" customHeight="1" spans="1:5">
      <c r="A10" s="4" t="s">
        <v>709</v>
      </c>
      <c r="B10" s="5">
        <v>1</v>
      </c>
      <c r="C10" s="6">
        <v>0</v>
      </c>
      <c r="D10" s="7" t="s">
        <v>710</v>
      </c>
      <c r="E10" s="7" t="s">
        <v>711</v>
      </c>
    </row>
    <row r="11" spans="1:5">
      <c r="A11" s="8" t="s">
        <v>442</v>
      </c>
      <c r="B11" s="9">
        <f>SUM(B6:B10)</f>
        <v>8</v>
      </c>
      <c r="C11" s="10">
        <f>SUM(C6:C10)</f>
        <v>5.5</v>
      </c>
    </row>
    <row r="14" spans="1:5">
      <c r="A14" s="2" t="s">
        <v>712</v>
      </c>
    </row>
    <row r="15" ht="15" customHeight="1" spans="1:5">
      <c r="A15" s="11" t="s">
        <v>713</v>
      </c>
      <c r="B15" s="11"/>
      <c r="C15" s="11"/>
      <c r="D15" s="11"/>
      <c r="E15" s="11"/>
    </row>
    <row r="16" ht="15" customHeight="1" spans="1:5">
      <c r="A16" s="11" t="s">
        <v>714</v>
      </c>
      <c r="B16" s="11"/>
      <c r="C16" s="11"/>
      <c r="D16" s="11"/>
      <c r="E16" s="11"/>
    </row>
    <row r="17" ht="15" customHeight="1" spans="1:5">
      <c r="A17" s="11" t="s">
        <v>715</v>
      </c>
      <c r="B17" s="11"/>
      <c r="C17" s="11"/>
      <c r="D17" s="11"/>
      <c r="E17" s="11"/>
    </row>
    <row r="18" ht="15" customHeight="1" spans="1:5">
      <c r="A18" s="11" t="s">
        <v>716</v>
      </c>
      <c r="B18" s="11"/>
      <c r="C18" s="11"/>
      <c r="D18" s="11"/>
      <c r="E18" s="11"/>
    </row>
    <row r="19" ht="15" customHeight="1" spans="1:5">
      <c r="A19" s="11" t="s">
        <v>717</v>
      </c>
      <c r="B19" s="11"/>
      <c r="C19" s="11"/>
      <c r="D19" s="11"/>
      <c r="E19" s="11"/>
    </row>
    <row r="20" ht="15" customHeight="1" spans="1:5">
      <c r="A20" s="11" t="s">
        <v>718</v>
      </c>
      <c r="B20" s="11"/>
      <c r="C20" s="11"/>
      <c r="D20" s="11"/>
      <c r="E20" s="11"/>
    </row>
    <row r="21" ht="27.75" customHeight="1" spans="1:5">
      <c r="A21" s="11" t="s">
        <v>719</v>
      </c>
      <c r="B21" s="11"/>
      <c r="C21" s="11"/>
      <c r="D21" s="11"/>
      <c r="E21" s="11"/>
    </row>
    <row r="24" spans="1:5">
      <c r="A24" s="2" t="s">
        <v>720</v>
      </c>
    </row>
    <row r="25" ht="27.75" customHeight="1" spans="1:5">
      <c r="A25" s="11" t="s">
        <v>721</v>
      </c>
      <c r="B25" s="11"/>
      <c r="C25" s="11"/>
      <c r="D25" s="11"/>
      <c r="E25" s="11"/>
    </row>
    <row r="26" ht="27.75" customHeight="1" spans="1:5">
      <c r="A26" s="11" t="s">
        <v>722</v>
      </c>
      <c r="B26" s="11"/>
      <c r="C26" s="11"/>
      <c r="D26" s="11"/>
      <c r="E26" s="11"/>
    </row>
    <row r="27" ht="15" customHeight="1" spans="1:5">
      <c r="A27" s="11" t="s">
        <v>723</v>
      </c>
      <c r="B27" s="11"/>
      <c r="C27" s="11"/>
      <c r="D27" s="11"/>
      <c r="E27" s="11"/>
    </row>
    <row r="28" ht="27.75" customHeight="1" spans="1:5">
      <c r="A28" s="11" t="s">
        <v>724</v>
      </c>
      <c r="B28" s="11"/>
      <c r="C28" s="11"/>
      <c r="D28" s="11"/>
      <c r="E28" s="11"/>
    </row>
    <row r="29" ht="27.75" customHeight="1" spans="1:5">
      <c r="A29" s="11" t="s">
        <v>725</v>
      </c>
      <c r="B29" s="11"/>
      <c r="C29" s="11"/>
      <c r="D29" s="11"/>
      <c r="E29" s="11"/>
    </row>
    <row r="30" ht="27.75" customHeight="1" spans="1:5">
      <c r="A30" s="11" t="s">
        <v>726</v>
      </c>
      <c r="B30" s="11"/>
      <c r="C30" s="11"/>
      <c r="D30" s="11"/>
      <c r="E30" s="11"/>
    </row>
    <row r="31" ht="15" customHeight="1" spans="1:5">
      <c r="A31" s="11" t="s">
        <v>727</v>
      </c>
      <c r="B31" s="11"/>
      <c r="C31" s="11"/>
      <c r="D31" s="11"/>
      <c r="E31" s="11"/>
    </row>
    <row r="32" ht="15" customHeight="1" spans="1:5">
      <c r="A32" s="11" t="s">
        <v>728</v>
      </c>
      <c r="B32" s="11"/>
      <c r="C32" s="11"/>
      <c r="D32" s="11"/>
      <c r="E32" s="11"/>
    </row>
    <row r="33" ht="27.75" customHeight="1" spans="1:5">
      <c r="A33" s="11" t="s">
        <v>729</v>
      </c>
      <c r="B33" s="11"/>
      <c r="C33" s="11"/>
      <c r="D33" s="11"/>
      <c r="E33" s="11"/>
    </row>
    <row r="36" spans="1:5">
      <c r="A36" s="2" t="s">
        <v>730</v>
      </c>
    </row>
    <row r="37" ht="30" customHeight="1" spans="1:5">
      <c r="A37" s="3" t="s">
        <v>731</v>
      </c>
      <c r="B37" s="3" t="s">
        <v>732</v>
      </c>
      <c r="C37" s="3" t="s">
        <v>38</v>
      </c>
      <c r="D37" s="3" t="s">
        <v>733</v>
      </c>
      <c r="E37" s="3" t="s">
        <v>734</v>
      </c>
    </row>
    <row r="38" ht="25.5" customHeight="1" spans="1:5">
      <c r="A38" s="5" t="s">
        <v>735</v>
      </c>
      <c r="B38" s="5" t="s">
        <v>736</v>
      </c>
      <c r="C38" s="5" t="s">
        <v>737</v>
      </c>
      <c r="D38" s="7" t="s">
        <v>738</v>
      </c>
      <c r="E38" s="7" t="s">
        <v>739</v>
      </c>
    </row>
    <row r="39" ht="25.5" customHeight="1" spans="1:5">
      <c r="A39" s="5" t="s">
        <v>740</v>
      </c>
      <c r="B39" s="5" t="s">
        <v>741</v>
      </c>
      <c r="C39" s="5" t="s">
        <v>742</v>
      </c>
      <c r="D39" s="7" t="s">
        <v>738</v>
      </c>
      <c r="E39" s="7" t="s">
        <v>743</v>
      </c>
    </row>
    <row r="40" ht="25.5" customHeight="1" spans="1:5">
      <c r="A40" s="5" t="s">
        <v>744</v>
      </c>
      <c r="B40" s="5" t="s">
        <v>745</v>
      </c>
      <c r="C40" s="5" t="s">
        <v>746</v>
      </c>
      <c r="D40" s="7" t="s">
        <v>747</v>
      </c>
      <c r="E40" s="7" t="s">
        <v>748</v>
      </c>
    </row>
    <row r="41" ht="25.5" customHeight="1" spans="1:5">
      <c r="A41" s="5" t="s">
        <v>749</v>
      </c>
      <c r="B41" s="5" t="s">
        <v>750</v>
      </c>
      <c r="C41" s="5" t="s">
        <v>751</v>
      </c>
      <c r="D41" s="7" t="s">
        <v>752</v>
      </c>
      <c r="E41" s="7" t="s">
        <v>753</v>
      </c>
    </row>
    <row r="42" ht="25.5" customHeight="1" spans="1:5">
      <c r="A42" s="5" t="s">
        <v>754</v>
      </c>
      <c r="B42" s="5" t="s">
        <v>750</v>
      </c>
      <c r="C42" s="5" t="s">
        <v>751</v>
      </c>
      <c r="D42" s="7" t="s">
        <v>738</v>
      </c>
      <c r="E42" s="7" t="s">
        <v>755</v>
      </c>
    </row>
    <row r="43" ht="25.5" customHeight="1" spans="1:5">
      <c r="A43" s="5" t="s">
        <v>756</v>
      </c>
      <c r="B43" s="5" t="s">
        <v>757</v>
      </c>
      <c r="C43" s="5" t="s">
        <v>746</v>
      </c>
      <c r="D43" s="7" t="s">
        <v>758</v>
      </c>
      <c r="E43" s="7" t="s">
        <v>759</v>
      </c>
    </row>
    <row r="44" ht="25.5" customHeight="1" spans="1:5">
      <c r="A44" s="5" t="s">
        <v>760</v>
      </c>
      <c r="B44" s="5" t="s">
        <v>761</v>
      </c>
      <c r="C44" s="5" t="s">
        <v>762</v>
      </c>
      <c r="D44" s="7" t="s">
        <v>763</v>
      </c>
      <c r="E44" s="7" t="s">
        <v>764</v>
      </c>
    </row>
    <row r="45" ht="25.5" customHeight="1" spans="1:5">
      <c r="A45" s="5" t="s">
        <v>765</v>
      </c>
      <c r="B45" s="5" t="s">
        <v>766</v>
      </c>
      <c r="C45" s="5" t="s">
        <v>742</v>
      </c>
      <c r="D45" s="7" t="s">
        <v>767</v>
      </c>
      <c r="E45" s="7" t="s">
        <v>768</v>
      </c>
    </row>
    <row r="48" spans="1:5">
      <c r="A48" s="2" t="s">
        <v>769</v>
      </c>
    </row>
    <row r="49" ht="15" customHeight="1" spans="1:5">
      <c r="A49" s="11" t="s">
        <v>770</v>
      </c>
      <c r="B49" s="11"/>
      <c r="C49" s="11"/>
      <c r="D49" s="11"/>
      <c r="E49" s="11"/>
    </row>
    <row r="50" ht="27.75" customHeight="1" spans="1:5">
      <c r="A50" s="11" t="s">
        <v>771</v>
      </c>
      <c r="B50" s="11"/>
      <c r="C50" s="11"/>
      <c r="D50" s="11"/>
      <c r="E50" s="11"/>
    </row>
    <row r="51" ht="15" customHeight="1" spans="1:5">
      <c r="A51" s="11" t="s">
        <v>772</v>
      </c>
      <c r="B51" s="11"/>
      <c r="C51" s="11"/>
      <c r="D51" s="11"/>
      <c r="E51" s="11"/>
    </row>
    <row r="52" ht="15" customHeight="1" spans="1:5">
      <c r="A52" s="11" t="s">
        <v>773</v>
      </c>
      <c r="B52" s="11"/>
      <c r="C52" s="11"/>
      <c r="D52" s="11"/>
      <c r="E52" s="11"/>
    </row>
    <row r="53" ht="15" customHeight="1" spans="1:5">
      <c r="A53" s="11" t="s">
        <v>774</v>
      </c>
      <c r="B53" s="11"/>
      <c r="C53" s="11"/>
      <c r="D53" s="11"/>
      <c r="E53" s="11"/>
    </row>
    <row r="54" ht="15" customHeight="1" spans="1:5">
      <c r="A54" s="11" t="s">
        <v>775</v>
      </c>
      <c r="B54" s="11"/>
      <c r="C54" s="11"/>
      <c r="D54" s="11"/>
      <c r="E54" s="11"/>
    </row>
  </sheetData>
  <mergeCells count="22">
    <mergeCell ref="A15:E15"/>
    <mergeCell ref="A16:E16"/>
    <mergeCell ref="A17:E17"/>
    <mergeCell ref="A18:E18"/>
    <mergeCell ref="A19:E19"/>
    <mergeCell ref="A20:E20"/>
    <mergeCell ref="A21:E21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49:E49"/>
    <mergeCell ref="A50:E50"/>
    <mergeCell ref="A51:E51"/>
    <mergeCell ref="A52:E52"/>
    <mergeCell ref="A53:E53"/>
    <mergeCell ref="A54:E54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LibreOffice/26.2.5.2$Linux_X86_64 LibreOffice_project/620$Build-2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1. Overview</vt:lpstr>
      <vt:lpstr>2. Backlog</vt:lpstr>
      <vt:lpstr>3. Epic Summary</vt:lpstr>
      <vt:lpstr>4. Sprint Plan</vt:lpstr>
      <vt:lpstr>5. Milestones</vt:lpstr>
      <vt:lpstr>6. Deferred</vt:lpstr>
      <vt:lpstr>7. Risks</vt:lpstr>
      <vt:lpstr>8. Team &amp; Process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WPS_1712651923</cp:lastModifiedBy>
  <cp:revision>0</cp:revision>
  <dcterms:created xsi:type="dcterms:W3CDTF">2026-09-22T04:42:00Z</dcterms:created>
  <dcterms:modified xsi:type="dcterms:W3CDTF">2026-09-24T09:47:15Z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D0A7479574F1421BA51A16FD2EF1A249_13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