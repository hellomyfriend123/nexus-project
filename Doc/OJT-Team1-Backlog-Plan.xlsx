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440" tabRatio="500" activeTab="3"/>
  </bookViews>
  <sheets>
    <sheet name="1. Overview" sheetId="1" r:id="rId1"/>
    <sheet name="2. Backlog" sheetId="2" r:id="rId2"/>
    <sheet name="3. Epic Summary" sheetId="3" r:id="rId3"/>
    <sheet name="4. Sprint Plan" sheetId="4" r:id="rId4"/>
    <sheet name="5. Milestones" sheetId="5" r:id="rId5"/>
    <sheet name="6. Deferred" sheetId="6" r:id="rId6"/>
    <sheet name="7. Risks" sheetId="7" r:id="rId7"/>
    <sheet name="8. Team &amp; Proces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<sst xmlns="http://schemas.openxmlformats.org/spreadsheetml/2006/main" count="867" uniqueCount="461">
  <si>
    <t xml:space="preserve"> OJT — KẾ HOẠCH HOÀN THÀNH SẢN PHẨM (Release 1)</t>
  </si>
  <si>
    <t>Nguồn: Roadmap OJT 45 ngày (bản gốc, thiết kế cho 1 thực tập sinh) · Đội: 5 thực tập sinh OrangeDev · Leader: Nguyễn Minh Phúc · Ngày lập: 27/09/2026</t>
  </si>
  <si>
    <t>A. TÍNH TOÁN NĂNG LỰC — VÌ SAO 10 TUẦN LÀ VỪA SỨC</t>
  </si>
  <si>
    <t>Chỉ số</t>
  </si>
  <si>
    <t>Giá trị</t>
  </si>
  <si>
    <t>Đơn vị</t>
  </si>
  <si>
    <t>Cách tính / Ghi chú</t>
  </si>
  <si>
    <t>Tổng phạm vi Backlog</t>
  </si>
  <si>
    <t>dev-day</t>
  </si>
  <si>
    <t>Sheet "2. Backlog" — tổng cột Estimate của 47 feature (E00–E10)</t>
  </si>
  <si>
    <t>Số thành viên</t>
  </si>
  <si>
    <t>người</t>
  </si>
  <si>
    <t>3 Backend (Phúc, Thành, Đạt) + 2 Frontend (Quân, Văn)</t>
  </si>
  <si>
    <t>Năng lực hiệu quả / người / sprint</t>
  </si>
  <si>
    <t>10 ngày làm việc x 50% hiệu suất thực tế — thấp hơn mức 80% của dev chuyên nghiệp vì vừa học công nghệ mới vừa làm sản phẩm</t>
  </si>
  <si>
    <t>Số Sprint</t>
  </si>
  <si>
    <t>sprint</t>
  </si>
  <si>
    <t>10 tuần = 5 sprint x 2 tuần, bắt đầu 28/09/2026</t>
  </si>
  <si>
    <t>Tổng năng lực đội (BE + FE)</t>
  </si>
  <si>
    <t>Sheet "4. Sprint Plan" — tổng cột "Tổng cap" của 5 sprint</t>
  </si>
  <si>
    <t>Buffer / dự phòng</t>
  </si>
  <si>
    <t>%</t>
  </si>
  <si>
    <t>Phần năng lực còn lại dùng cho học tập, sửa lỗi phát sinh, họp và mentor 1-1</t>
  </si>
  <si>
    <t>KẾT LUẬN: Với đội 5 người (3 BE + 2 FE) làm việc trong 10 tuần (5 sprint), năng lực lý thuyết đủ để hoàn thành toàn bộ 47 feature Must/Should trong backlog, còn dư khoảng 10% năng lực làm buffer. Track Backend (94,7% sử dụng) là track chịu tải nặng nhất — nếu học kiến thức mới chậm hơn dự kiến, nên cắt các mục Should trước (F01.6, F03.4, F05.5, F07.4, F09.5) thay vì cắt mục Must.</t>
  </si>
  <si>
    <t>B. GIẢ ĐỊNH CHÍNH (nếu sai, kế hoạch cần điều chỉnh)</t>
  </si>
  <si>
    <t>• Cả 3 Backend cùng học Spring Boot lần đầu ở mức cơ bản; nếu ai đã có nền tảng sẵn, có thể lấy thêm việc từ track FE (ví dụ hỗ trợ viết test) để cân tải.</t>
  </si>
  <si>
    <t>• Frontend không tự thiết kế UI từ đầu: dùng Tailwind CSS + bộ màu/typography đơn giản (F02.1), tập trung thời gian cho logic gọi API và trải nghiệm.</t>
  </si>
  <si>
    <t>• Đấu giá (Auction) dùng polling 3 giây thay vì WebSocket để giảm độ phức tạp kỹ thuật trong 10 tuần; WebSocket là hạng mục Deferred (D02).</t>
  </si>
  <si>
    <t>• Thanh toán trong Release 1 là COD (thanh toán khi nhận hàng) — KHÔNG tích hợp cổng thanh toán thật (Deferred D01).</t>
  </si>
  <si>
    <t>• Mỗi Sprint dài đúng 2 tuần (10 ngày làm việc); không có tuần nghỉ lễ nào rơi vào giai đoạn 28/09/2026 – 04/12/2026.</t>
  </si>
  <si>
    <t>• 1 dev-day là 1 ngày công hiệu quả (đã trừ thời gian học, họp, mentor) — không phải 1 ngày lịch.</t>
  </si>
  <si>
    <t>• Leader (Phúc) vừa code (track BE) vừa điều phối tiến độ chung; nếu khối lượng điều phối tăng, cần giảm bớt phần code được giao cho Phúc.</t>
  </si>
  <si>
    <t>Feature ID</t>
  </si>
  <si>
    <t>Epic</t>
  </si>
  <si>
    <t>Epic Name</t>
  </si>
  <si>
    <t>Feature Name</t>
  </si>
  <si>
    <t>Priority</t>
  </si>
  <si>
    <t>Estimate (dev-day)</t>
  </si>
  <si>
    <t>Track</t>
  </si>
  <si>
    <t>Sprint</t>
  </si>
  <si>
    <t>Owner</t>
  </si>
  <si>
    <t>Dependencies</t>
  </si>
  <si>
    <t>Definition of Done</t>
  </si>
  <si>
    <t>F00.1</t>
  </si>
  <si>
    <t>E00</t>
  </si>
  <si>
    <t>Nền tảng &amp; Chuẩn bị</t>
  </si>
  <si>
    <t>Đọc SRS/scope và thống nhất MVP</t>
  </si>
  <si>
    <t>Must</t>
  </si>
  <si>
    <t>ALL</t>
  </si>
  <si>
    <t xml:space="preserve">Nguyễn Minh Phúc </t>
  </si>
  <si>
    <t>-</t>
  </si>
  <si>
    <t>Cả 5 thành viên hiểu các actor Buyer, Seller, Administrator; thống nhất luồng mua hàng trực tiếp và đấu giá; xác định rõ danh sách chức năng trong và ngoài phạm vi MVP; lưu lại phạm vi đã thống nhất để làm căn cứ triển khai.</t>
  </si>
  <si>
    <t>F00.2</t>
  </si>
  <si>
    <t xml:space="preserve">Liệt kê Entiy đối chiếu SRS đã thông nhất  </t>
  </si>
  <si>
    <t>BE</t>
  </si>
  <si>
    <t>S0</t>
  </si>
  <si>
    <t>Nguyễn Duy Thành</t>
  </si>
  <si>
    <t>Hoàn thành danh sách Entity và các thuộc tính chính; xác định PK, FK dự kiến và quan hệ giữa các Entity; đối chiếu với SRS và ghi nhận các điểm chưa rõ để nhóm xác nhận trước khi hoàn thiện ERD.</t>
  </si>
  <si>
    <t>F00.3</t>
  </si>
  <si>
    <t xml:space="preserve">Vẽ sơ đồ ERD (Database) </t>
  </si>
  <si>
    <t xml:space="preserve">Ngô Thanh Quân </t>
  </si>
  <si>
    <t>F00.2, F00.1</t>
  </si>
  <si>
    <t>Hoàn thành ERD thể hiện Entity, thuộc tính, PK, FK, quan hệ và cardinality; hoàn thành sơ đồ kiến trúc tổng quan thể hiện các module nghiệp vụ, trách nhiệm và cách giao tiếp; đối chiếu thiết kế với SRS và phạm vi MVP; các thành viên liên quan review và thống nhất.</t>
  </si>
  <si>
    <t>F00.4</t>
  </si>
  <si>
    <t>Chia module và phân công trách nhiệm BE/FE</t>
  </si>
  <si>
    <t>F00.3, F00.1</t>
  </si>
  <si>
    <t>Có bảng phân công cho cả 5 thành viên; xác định Owner, trách nhiệm BE/FE, module phụ trách và phạm vi công việc; thống nhất cách phối hợp, bàn giao và tích hợp giữa các thành viên.</t>
  </si>
  <si>
    <t>F00.5</t>
  </si>
  <si>
    <t>Khởi tạo GitLab Repository và thống nhất quy trình làm việc nhóm</t>
  </si>
  <si>
    <t xml:space="preserve">Phạm Gia Văn </t>
  </si>
  <si>
    <t>Tạo repository GitLab; thống nhất quy tắc đặt tên branch, commit và Merge Request; cấu hình quyền truy cập cần thiết; có README hướng dẫn quy trình làm việc; thực hiện thành công ít nhất một Merge Request mẫu được review và merge.</t>
  </si>
  <si>
    <t>F00.6</t>
  </si>
  <si>
    <t>Cài đặt môi trường Backend: JDK 22, IntelliJ IDEA, Maven, Git và DBeaver</t>
  </si>
  <si>
    <t>Nguyễn Minh Phúc
Nguyễn Duy Thành
 Trần Quốc Đạt</t>
  </si>
  <si>
    <t>Các thành viên BE cài đặt cùng phiên bản JDK đã thống nhất, IntelliJ IDEA, Maven, Git và DBeaver; cấu hình JAVA_HOME và PATH khi cần; tạo và chạy thành công project Java mẫu; xác nhận kết nối cơ sở dữ liệu thử nghiệm nếu đã có thông tin kết nối; ghi lại hướng dẫn cài đặt và xử lý lỗi thường gặp.</t>
  </si>
  <si>
    <t>F00.7</t>
  </si>
  <si>
    <t>Cài đặt môi trường Frontend: Node.js, Visual Studio Code, React, Vite và TypeScript</t>
  </si>
  <si>
    <t>FE</t>
  </si>
  <si>
    <t xml:space="preserve">Ngô Thanh Quân 
Phạm Gia Văn </t>
  </si>
  <si>
    <t>Các thành viên FE cài đặt cùng phiên bản Node.js đã thống nhất và Visual Studio Code; khởi tạo thành công project React bằng Vite với TypeScript; chạy được ứng dụng trên local; cài đặt dependencies thành công; cấu hình Git và có hướng dẫn để thành viên khác chạy lại project.</t>
  </si>
  <si>
    <t>F00.8</t>
  </si>
  <si>
    <t>Vẽ sơ đồ Screen Flow cho các chức năng chính</t>
  </si>
  <si>
    <t>Hoàn thành sơ đồ điều hướng màn hình cho Buyer, Seller và Administrator; thể hiện các màn hình và luồng chính gồm đăng nhập, mua hàng trực tiếp và đấu giá; xác định điểm bắt đầu, điều kiện chuyển màn hình và điểm kết thúc; các thành viên FE review để làm căn cứ xây dựng giao diện.</t>
  </si>
  <si>
    <t>F00.9</t>
  </si>
  <si>
    <t>Vẽ sơ đồ Swimlane cho quy trình nghiệp vụ chính</t>
  </si>
  <si>
    <t>Trần Quốc Đạt</t>
  </si>
  <si>
    <t>Hoàn thành sơ đồ Swimlane cho luồng mua hàng trực tiếp và luồng đấu giá; thể hiện trách nhiệm của các actor/hệ thống, thứ tự hoạt động, điều kiện rẽ nhánh và kết quả cuối cùng; các thành viên BE và FE review để thống nhất cách hệ thống vận hành.</t>
  </si>
  <si>
    <t>F00.10</t>
  </si>
  <si>
    <t xml:space="preserve">Vẽ sơ đồ Context Diagram </t>
  </si>
  <si>
    <t>Should</t>
  </si>
  <si>
    <t xml:space="preserve">Nguyễn Duy Thành </t>
  </si>
  <si>
    <t>Hoàn thành Context Diagram thể hiện ranh giới hệ thống Project Nexus, các actor chính, hệ thống bên ngoài nếu có và các tương tác chính với hệ thống; bảo đảm sơ đồ thống nhất với scope và kiến trúc đã thống nhất.</t>
  </si>
  <si>
    <t>F00.11</t>
  </si>
  <si>
    <t xml:space="preserve">Tổ chức ôn tạp Java Core, Các câu lệnh SQL server, các khái niệm liên quan đến MicroService và các biến dành cho nghiệp vụ Backend </t>
  </si>
  <si>
    <t>Tổng hợp tài liệu và kiến thức trọng tâm phục vụ S1; các thành viên ôn tập OOP, Collections, xử lý ngoại lệ, SQL cơ bản, CRUD, REST API, DTO, validation và kiến thức Spring Boot cần thiết; có tài liệu dùng chung và chạy được ví dụ Backend đơn giản.</t>
  </si>
  <si>
    <t>F00.12</t>
  </si>
  <si>
    <t>Tổ chức ôn tập React/ Taiwind, các khái niệm liên quan đến nghiệp vụ và REST API</t>
  </si>
  <si>
    <t>Tổng hợp tài liệu và kiến thức trọng tâm phục vụ S1; các thành viên ôn tập component, props, state, xử lý sự kiện, cấu trúc React, Tailwind CSS và cách gọi REST API; có tài liệu dùng chung và chạy được ví dụ giao diện React gọi thử API.</t>
  </si>
  <si>
    <t>F01.1</t>
  </si>
  <si>
    <t>E03</t>
  </si>
  <si>
    <t>System Foundation &amp; Environment Setup</t>
  </si>
  <si>
    <t>Khởi tạo dự án Spring Boot bằng Maven và kết nối PostgreSQL trên Supabase</t>
  </si>
  <si>
    <t>F00.3, F00.6</t>
  </si>
  <si>
    <t>Project chạy thành công; GET /api/hello trả về JSON đúng định dạng; ứng dụng kết nối được PostgreSQL theo cấu hình môi trường; không hardcode thông tin đăng nhập database vào source code.</t>
  </si>
  <si>
    <t>F01.2</t>
  </si>
  <si>
    <t>E04</t>
  </si>
  <si>
    <t>Database Design &amp; Initialization</t>
  </si>
  <si>
    <t xml:space="preserve">Dựng khung database trên cơ sở subapase theo cấu trúc lệnh DDL </t>
  </si>
  <si>
    <t>Nguyễn Minh Phúc</t>
  </si>
  <si>
    <t>F00.2, F00.3, F01.1</t>
  </si>
  <si>
    <t>Chạy DDL thành công trên database phát triển; các bảng, PK, FK và ràng buộc được tạo đúng thiết kế đã duyệt; có thể kiểm tra cấu trúc bằng DBeaver hoặc công cụ tương đương.</t>
  </si>
  <si>
    <t>F01.3</t>
  </si>
  <si>
    <t xml:space="preserve">Tạo database mẫu trên subapase theo cấu trúc DML </t>
  </si>
  <si>
    <t>S1</t>
  </si>
  <si>
    <t>Chạy DML thành công; có dữ liệu mẫu cần thiết để kiểm thử các chức năng đầu tiên; dữ liệu thỏa mãn PK/FK và các ràng buộc; có hướng dẫn chạy lại dữ liệu mẫu.</t>
  </si>
  <si>
    <t>F01.4</t>
  </si>
  <si>
    <t>Khởi tạo dự án React bằng Vite, TypeScript và cấu hình Tailwind CSS</t>
  </si>
  <si>
    <t>F00.5, F00.7</t>
  </si>
  <si>
    <t>Hoàn thành các màn hình thuộc phạm vi MVP của Seller: xem/quản lý sản phẩm của mình, tạo và chỉnh sửa sản phẩm, cùng các màn hình liên quan đến đấu giá; có điều hướng giữa các màn hình và được team review.</t>
  </si>
  <si>
    <t>F01.5</t>
  </si>
  <si>
    <t>E02</t>
  </si>
  <si>
    <t>Frontend Design &amp; Role UI</t>
  </si>
  <si>
    <t xml:space="preserve">Hoàn thiện thiết kế giao diện trên Figma role seller đủ các chức năng bán hàng + đấu giá + thêm xóa sửa sản phẩm </t>
  </si>
  <si>
    <t>F00.8, F00.1</t>
  </si>
  <si>
    <t>F01.6</t>
  </si>
  <si>
    <t xml:space="preserve">Hoàn thiện thiết kế giao diện trên Figma role buyer đủ các chức năng, hoàn thành đấu giá, mua hàng hủy hàng </t>
  </si>
  <si>
    <t>Hoàn thành các màn hình thuộc phạm vi MVP của Buyer, gồm danh sách/chi tiết sản phẩm, giỏ hàng, checkout và các màn hình đấu giá; thể hiện các trạng thái chính và luồng điều hướng; được team review.</t>
  </si>
  <si>
    <t>F01.7</t>
  </si>
  <si>
    <t xml:space="preserve">Hoàn thiện thiết kế giao diện trên Figma role admin đủ các chức năng </t>
  </si>
  <si>
    <t>Hoàn thành các màn hình quản trị thuộc phạm vi MVP đã thống nhất; xác định chức năng quản trị cần có, điều hướng và trạng thái chính; không bổ sung chức năng ngoài scope; được team review.</t>
  </si>
  <si>
    <t>F01.8</t>
  </si>
  <si>
    <t>E01</t>
  </si>
  <si>
    <t>Frontend Auth &amp; Design System</t>
  </si>
  <si>
    <t xml:space="preserve">thiết kế màn hình đăng nhập, đăng kí theo từng role </t>
  </si>
  <si>
    <t>F00.1, F00.8</t>
  </si>
  <si>
    <t>Không có mật khẩu dạng plaintext trong Database</t>
  </si>
  <si>
    <t>F01.9</t>
  </si>
  <si>
    <t>Authentication &amp; User Management</t>
  </si>
  <si>
    <t>Xây dựng API đăng ký tài khoản POST /api/auth/register</t>
  </si>
  <si>
    <t xml:space="preserve"> Trần Quốc Đạt</t>
  </si>
  <si>
    <t>F01.1, F01.2</t>
  </si>
  <si>
    <t>API kiểm tra dữ liệu đầu vào, định dạng email và email trùng; mật khẩu được hash trước khi lưu; đăng ký hợp lệ tạo được User; email trùng trả lỗi rõ ràng; response không chứa password hoặc password hash; kiểm thử bằng Postman.</t>
  </si>
  <si>
    <t>Xây dựng API đăng nhập và phát hành JWT POST /api/auth/login</t>
  </si>
  <si>
    <t>Đăng nhập hợp lệ trả JWT; thông tin đăng nhập sai bị từ chối; token có thời hạn; secret được cấu hình qua biến môi trường; response không trả password hash; kiểm thử được cả trường hợp thành công và thất bại bằng Postman.</t>
  </si>
  <si>
    <t>F01.10</t>
  </si>
  <si>
    <t>Cấu hình JWT Filter và bảo vệ API bằng Spring Security</t>
  </si>
  <si>
    <t>Request không có token hoặc có token không hợp lệ bị từ chối tại endpoint được bảo vệ; token hợp lệ xác định được người dùng hiện tại; lỗi xác thực trả HTTP 401; có kiểm thử endpoint công khai và endpoint yêu cầu đăng nhập.</t>
  </si>
  <si>
    <t>F01.11</t>
  </si>
  <si>
    <t>Tích hợp giao diện đăng ký, đăng nhập với Authentication API</t>
  </si>
  <si>
    <t>F01.4, F01.8, F01.9, F01.10</t>
  </si>
  <si>
    <t>Giao diện gửi request đúng hợp đồng API; hiển thị kết quả đăng ký/đăng nhập và thông báo lỗi; kiểm thử được luồng đăng ký và đăng nhập thành công; cách xử lý token được team thống nhất và áp dụng nhất quán.</t>
  </si>
  <si>
    <t>F01.12</t>
  </si>
  <si>
    <t>Kiểm thử Authentication và bàn giao hướng dẫn tích hợp</t>
  </si>
  <si>
    <t>F01.9, F01.10, F01.11, F01.12</t>
  </si>
  <si>
    <t>Có Postman collection cho đăng ký, đăng nhập và API yêu cầu xác thực; kiểm thử các trường hợp hợp lệ, email trùng, mật khẩu sai, thiếu token và token không hợp lệ; ghi nhận lỗi còn tồn tại; cập nhật README về cách cấu hình và chạy project.</t>
  </si>
  <si>
    <t>Phân quyền API theo Role (@PreAuthorize) cho từng nhóm endpoint</t>
  </si>
  <si>
    <t>Đạt</t>
  </si>
  <si>
    <t>Tài khoản Buyer gọi API dành cho Admin bị chặn 403</t>
  </si>
  <si>
    <t>API đổi mật khẩu + quên mật khẩu (gửi link qua email giả lập)</t>
  </si>
  <si>
    <t>Thành</t>
  </si>
  <si>
    <t>Đổi mật khẩu với mật khẩu cũ sai bị từ chối</t>
  </si>
  <si>
    <t>F02.1</t>
  </si>
  <si>
    <t>Xây dựng Design System cơ bản: màu sắc, font, Header, Footer, Button, Input dùng chung</t>
  </si>
  <si>
    <t>Quân</t>
  </si>
  <si>
    <t>Có trang demo hiển thị đầy đủ component dùng chung</t>
  </si>
  <si>
    <t>F02.2</t>
  </si>
  <si>
    <t>Trang Đăng ký / Đăng nhập, gọi API thật, lưu JWT (localStorage)</t>
  </si>
  <si>
    <t>Đăng nhập thành công điều hướng về trang chủ; sai mật khẩu báo lỗi rõ ràng</t>
  </si>
  <si>
    <t>F02.3</t>
  </si>
  <si>
    <t>Private Route theo Role + màn hình Quên mật khẩu (giao diện)</t>
  </si>
  <si>
    <t>Văn</t>
  </si>
  <si>
    <t>Chưa đăng nhập truy cập trang cá nhân sẽ bị chuyển hướng về login</t>
  </si>
  <si>
    <t>F03.1</t>
  </si>
  <si>
    <t>Catalog Service (Backend)</t>
  </si>
  <si>
    <t>Entity Category (cây danh mục tối đa 2 cấp) + API CRUD</t>
  </si>
  <si>
    <t>Không xoá được danh mục còn chứa sản phẩm con</t>
  </si>
  <si>
    <t>F03.2</t>
  </si>
  <si>
    <t>Entity Product (tên, mô tả, giá, ảnh, tồn kho, category) + API CRUD</t>
  </si>
  <si>
    <t>6 API CRUD hoạt động; validate giá &gt; 0 và tồn kho &gt;= 0</t>
  </si>
  <si>
    <t>F03.3</t>
  </si>
  <si>
    <t>API danh sách sản phẩm: tìm kiếm theo tên + lọc theo danh mục + phân trang</t>
  </si>
  <si>
    <t>Trả kết quả đúng với bộ dữ liệu 100 sản phẩm test</t>
  </si>
  <si>
    <t>F03.4</t>
  </si>
  <si>
    <t>Chức năng upload ảnh sản phẩm (tối đa 3 ảnh/sản phẩm)</t>
  </si>
  <si>
    <t>Ảnh upload hiển thị đúng qua URL trả về</t>
  </si>
  <si>
    <t>F04.1</t>
  </si>
  <si>
    <t>Frontend Catalog</t>
  </si>
  <si>
    <t>Trang chủ: Banner, danh mục nổi bật, sản phẩm mới nhất</t>
  </si>
  <si>
    <t>F02.1, F03.2</t>
  </si>
  <si>
    <t>Gọi API danh mục/sản phẩm hiển thị đúng dữ liệu thật</t>
  </si>
  <si>
    <t>F04.2</t>
  </si>
  <si>
    <t>Component ProductCard + ProductList dạng lưới, phân trang</t>
  </si>
  <si>
    <t>Chuyển trang / đổi bộ lọc cập nhật đúng danh sách</t>
  </si>
  <si>
    <t>F04.3</t>
  </si>
  <si>
    <t>Trang chi tiết sản phẩm (ProductDetail)</t>
  </si>
  <si>
    <t>Hiển thị đúng ảnh, giá, mô tả, tồn kho</t>
  </si>
  <si>
    <t>F04.4</t>
  </si>
  <si>
    <t>Thanh tìm kiếm + bộ lọc danh mục trên giao diện</t>
  </si>
  <si>
    <t>Gõ từ khoá trả kết quả đúng trong dưới 1 giây (dữ liệu test)</t>
  </si>
  <si>
    <t>F05.1</t>
  </si>
  <si>
    <t>E05</t>
  </si>
  <si>
    <t>Commerce - Cart &amp; Order (Backend)</t>
  </si>
  <si>
    <t>Entity Cart, CartItem + API thêm/sửa số lượng/xoá sản phẩm khỏi giỏ</t>
  </si>
  <si>
    <t>Phúc</t>
  </si>
  <si>
    <t>Thêm 1 sản phẩm 2 lần sẽ cộng dồn số lượng, không tạo dòng trùng</t>
  </si>
  <si>
    <t>F05.2</t>
  </si>
  <si>
    <t>Tính tổng tiền giỏ hàng (subtotal, tổng cộng)</t>
  </si>
  <si>
    <t>Giỏ hàng 5 sản phẩm tính tổng chính xác 100%</t>
  </si>
  <si>
    <t>F05.3</t>
  </si>
  <si>
    <t>Entity Order, OrderItem + API tạo đơn hàng (checkout) từ giỏ hàng</t>
  </si>
  <si>
    <t>Checkout xong giỏ hàng được xoá; đơn lưu đúng giá tại thời điểm mua</t>
  </si>
  <si>
    <t>F05.4</t>
  </si>
  <si>
    <t>API lịch sử đơn hàng + xem chi tiết đơn hàng theo user</t>
  </si>
  <si>
    <t>Chỉ thấy được đơn hàng của chính user đang đăng nhập</t>
  </si>
  <si>
    <t>F05.5</t>
  </si>
  <si>
    <t>Trạng thái đơn hàng (Pending/Paid/Shipped/Completed/Canceled) + API cập nhật (Admin)</t>
  </si>
  <si>
    <t>Chặn chuyển trạng thái không hợp lệ (ví dụ Completed -&gt; Pending)</t>
  </si>
  <si>
    <t>F06.1</t>
  </si>
  <si>
    <t>E06</t>
  </si>
  <si>
    <t>Frontend Cart &amp; Checkout</t>
  </si>
  <si>
    <t>Trang Giỏ hàng: danh sách sản phẩm, tăng/giảm số lượng, xoá</t>
  </si>
  <si>
    <t>Tổng tiền cập nhật ngay khi thay đổi số lượng</t>
  </si>
  <si>
    <t>F06.2</t>
  </si>
  <si>
    <t>Trang Thanh toán (Checkout): nhập địa chỉ, số điện thoại, xác nhận đặt hàng</t>
  </si>
  <si>
    <t>Đặt hàng thành công hiển thị thông báo + chuyển trang lịch sử đơn</t>
  </si>
  <si>
    <t>F06.3</t>
  </si>
  <si>
    <t>Trang "Đơn hàng của tôi" (danh sách + chi tiết)</t>
  </si>
  <si>
    <t>Danh sách hiển thị đúng trạng thái từng đơn</t>
  </si>
  <si>
    <t>F07.1</t>
  </si>
  <si>
    <t>E07</t>
  </si>
  <si>
    <t>Auction Lite (Backend)</t>
  </si>
  <si>
    <t>Entity AuctionSession (giá khởi điểm, giá hiện tại, thời gian bắt đầu/kết thúc, trạng thái) + API tạo phiên</t>
  </si>
  <si>
    <t>Không tạo được 2 phiên đang ACTIVE cho cùng 1 sản phẩm</t>
  </si>
  <si>
    <t>F07.2</t>
  </si>
  <si>
    <t>Entity Bid + API đặt giá (validate giá mới &gt; giá hiện tại + phiên đang ACTIVE)</t>
  </si>
  <si>
    <t>Đặt giá thấp hơn hoặc bằng giá hiện tại bị từ chối</t>
  </si>
  <si>
    <t>F07.3</t>
  </si>
  <si>
    <t>Job tự động đóng phiên khi hết giờ + xác định người thắng</t>
  </si>
  <si>
    <t>Phiên tự động đóng đúng thời điểm end_time; chỉ 1 người thắng</t>
  </si>
  <si>
    <t>F07.4</t>
  </si>
  <si>
    <t>API lịch sử đặt giá theo phiên (bid history)</t>
  </si>
  <si>
    <t>Trả đúng thứ tự thời gian; giá cao nhất hiển thị đầu tiên</t>
  </si>
  <si>
    <t>F08.1</t>
  </si>
  <si>
    <t>E08</t>
  </si>
  <si>
    <t>Frontend Auction</t>
  </si>
  <si>
    <t>Trang danh sách phiên đấu giá đang diễn ra</t>
  </si>
  <si>
    <t>Hiển thị đúng giá hiện tại và thời gian còn lại</t>
  </si>
  <si>
    <t>F08.2</t>
  </si>
  <si>
    <t>Trang chi tiết đấu giá: đồng hồ đếm ngược, giá hiện tại, form đặt giá, lịch sử đặt giá (polling 3s)</t>
  </si>
  <si>
    <t>F07.2, F07.4</t>
  </si>
  <si>
    <t>Đặt giá thành công; giao diện cập nhật giá mới trong vòng 3 giây</t>
  </si>
  <si>
    <t>F08.3</t>
  </si>
  <si>
    <t>Kiểm thử thủ công 2 tài khoản cùng đặt giá 1 phiên</t>
  </si>
  <si>
    <t>Không có 2 người cùng được xác nhận thắng 1 phiên</t>
  </si>
  <si>
    <t>F09.1</t>
  </si>
  <si>
    <t>E09</t>
  </si>
  <si>
    <t>Kiểm thử &amp; Triển khai</t>
  </si>
  <si>
    <t>Viết Postman Collection kiểm thử toàn bộ API (Auth, Catalog, Cart, Order, Auction)</t>
  </si>
  <si>
    <t>Toàn bộ API BE</t>
  </si>
  <si>
    <t>100% API chính có ít nhất 1 test case trong Postman</t>
  </si>
  <si>
    <t>F09.2</t>
  </si>
  <si>
    <t>Kiểm thử luồng End-to-End phía Backend: Đăng ký -&gt; Giỏ hàng -&gt; Đặt hàng -&gt; Đấu giá</t>
  </si>
  <si>
    <t>Toàn bộ luồng chạy không lỗi trên môi trường thật</t>
  </si>
  <si>
    <t>F09.3</t>
  </si>
  <si>
    <t>Kiểm thử &amp; sửa lỗi giao diện (responsive cơ bản, lỗi hiển thị, thông báo lỗi tiếng Việt)</t>
  </si>
  <si>
    <t>Không còn lỗi Major/Critical trên các trang chính trước Demo</t>
  </si>
  <si>
    <t>F09.4</t>
  </si>
  <si>
    <t>Sửa lỗi logic Backend phát sinh trong quá trình kiểm thử</t>
  </si>
  <si>
    <t>Không còn lỗi Major/Critical trước Demo</t>
  </si>
  <si>
    <t>F09.5</t>
  </si>
  <si>
    <t>Viết docker-compose.yml (PostgreSQL + Backend + Frontend)</t>
  </si>
  <si>
    <t>docker-compose up chạy được toàn bộ hệ thống trên máy khác</t>
  </si>
  <si>
    <t>F10.1</t>
  </si>
  <si>
    <t>E10</t>
  </si>
  <si>
    <t>Tài liệu &amp; Demo</t>
  </si>
  <si>
    <t>Vẽ sơ đồ ERD (Database) + sơ đồ kiến trúc tổng quan hệ thống</t>
  </si>
  <si>
    <t>F05.3, F07.1</t>
  </si>
  <si>
    <t>Sơ đồ khớp 100% với Database thật</t>
  </si>
  <si>
    <t>F10.2</t>
  </si>
  <si>
    <t>Viết Báo cáo thực tập OJT (mục tiêu, công nghệ, tính năng, hình ảnh demo, bài học rút ra)</t>
  </si>
  <si>
    <t>Phúc, Thành</t>
  </si>
  <si>
    <t>Báo cáo đầy đủ theo mẫu yêu cầu của trường/công ty</t>
  </si>
  <si>
    <t>F10.3</t>
  </si>
  <si>
    <t>Chuẩn bị Slide thuyết trình + kịch bản Demo trước Giảng viên/Công ty</t>
  </si>
  <si>
    <t>Quân, Văn</t>
  </si>
  <si>
    <t>Demo chạy mượt trong tối đa 10 phút, không phát sinh lỗi</t>
  </si>
  <si>
    <t>TỔNG PHẠM VI (10 TUẦN)</t>
  </si>
  <si>
    <t>TỔNG HỢP THEO EPIC</t>
  </si>
  <si>
    <t>Số Feature</t>
  </si>
  <si>
    <t>% tổng phạm vi</t>
  </si>
  <si>
    <t>Sprint bắt đầu</t>
  </si>
  <si>
    <t>Sprint kết thúc</t>
  </si>
  <si>
    <t>E11</t>
  </si>
  <si>
    <t>E12</t>
  </si>
  <si>
    <t>TỔNG</t>
  </si>
  <si>
    <t>SPRINT PLAN — TẢI CÔNG VIỆC (LOAD) SO VỚI NĂNG LỰC (CAPACITY) THEO TRACK</t>
  </si>
  <si>
    <t>Năng lực/sprint (giả định thực tập sinh, 2 tuần = 10 ngày làm việc x 50% hiệu suất thực tế do vừa học vừa làm): BE (3 người) = 15 dev-day · FE (2 người) = 10 dev-day. 1 dev-day = 1 ngày công hiệu quả sau khi trừ thời gian học kiến thức mới, họp, mentor 1-1.</t>
  </si>
  <si>
    <t>Từ ngày</t>
  </si>
  <si>
    <t>Đến ngày</t>
  </si>
  <si>
    <t>Số tuần</t>
  </si>
  <si>
    <t>Chủ đề Sprint</t>
  </si>
  <si>
    <t>BE load</t>
  </si>
  <si>
    <t>BE cap</t>
  </si>
  <si>
    <t>FE load</t>
  </si>
  <si>
    <t>FE cap</t>
  </si>
  <si>
    <t>Tổng load</t>
  </si>
  <si>
    <t>Tổng cap</t>
  </si>
  <si>
    <t>% sử dụng</t>
  </si>
  <si>
    <t>20/10/2026</t>
  </si>
  <si>
    <t>Khởi tạo nền tảng hệ thống, cơ sở dữ liệu và xác thực người dùng</t>
  </si>
  <si>
    <t>S2</t>
  </si>
  <si>
    <t>12/10/2026</t>
  </si>
  <si>
    <t>23/10/2026</t>
  </si>
  <si>
    <t>Hoàn thiện Auth &amp; Design System + Catalog Service (danh mục, sản phẩm)</t>
  </si>
  <si>
    <t>S3</t>
  </si>
  <si>
    <t>26/10/2026</t>
  </si>
  <si>
    <t>06/11/2026</t>
  </si>
  <si>
    <t>Giao diện Catalog + Giỏ hàng &amp; Đặt hàng (Backend)</t>
  </si>
  <si>
    <t>S4</t>
  </si>
  <si>
    <t>09/11/2026</t>
  </si>
  <si>
    <t>20/11/2026</t>
  </si>
  <si>
    <t>Giỏ hàng/Thanh toán (Frontend) + Auction Lite (Backend)</t>
  </si>
  <si>
    <t>S5</t>
  </si>
  <si>
    <t>23/11/2026</t>
  </si>
  <si>
    <t>04/12/2026</t>
  </si>
  <si>
    <t>Auction Lite (Frontend) + Kiểm thử, triển khai, tài liệu &amp; Demo</t>
  </si>
  <si>
    <t>MILESTONES &amp; TIÊU CHÍ NGHIỆM THU</t>
  </si>
  <si>
    <t>Mốc</t>
  </si>
  <si>
    <t>Milestone</t>
  </si>
  <si>
    <t>Ngày</t>
  </si>
  <si>
    <t>Điều kiện đạt (exit criteria)</t>
  </si>
  <si>
    <t>M0</t>
  </si>
  <si>
    <t>Nền tảng sẵn sàng</t>
  </si>
  <si>
    <t>Môi trường cài đặt xong cho cả 5 người; Spring Boot + React chạy được; đăng ký/đăng nhập trả JWT hoạt động</t>
  </si>
  <si>
    <t>M1</t>
  </si>
  <si>
    <t>Authentication &amp; Catalog hoàn chỉnh</t>
  </si>
  <si>
    <t>Phân quyền theo Role hoạt động; CRUD Danh mục &amp; Sản phẩm đầy đủ; UI Auth hoàn thiện</t>
  </si>
  <si>
    <t>M2</t>
  </si>
  <si>
    <t>Giao diện Catalog + Giỏ hàng chạy được</t>
  </si>
  <si>
    <t>Trang chủ, danh sách, chi tiết sản phẩm hiển thị dữ liệu thật; API Giỏ hàng &amp; Đặt hàng hoạt động</t>
  </si>
  <si>
    <t>M3</t>
  </si>
  <si>
    <t>Luồng mua hàng End-to-End + Auction Backend</t>
  </si>
  <si>
    <t>Giỏ hàng → Thanh toán → Đơn hàng chạy trọn luồng trên Frontend; API tạo phiên &amp; đặt giá đấu giá hoạt động đúng</t>
  </si>
  <si>
    <t>M4</t>
  </si>
  <si>
    <t>Demo Day</t>
  </si>
  <si>
    <t>Đấu giá chạy hoàn chỉnh trên UI; không còn lỗi Major/Critical; docker-compose chạy được; báo cáo &amp; slide demo sẵn sàng</t>
  </si>
  <si>
    <t>PHẠM VI TẠM HOÃN — VÀ LÝ DO</t>
  </si>
  <si>
    <t>Các mục dưới đây có trong Roadmap OJT gốc / mong muốn mở rộng nhưng KHÔNG nằm trong phạm vi 10 tuần. Leader (Phúc) xác nhận danh sách này.</t>
  </si>
  <si>
    <t>Mã</t>
  </si>
  <si>
    <t>Hạng mục</t>
  </si>
  <si>
    <t>Lý do tạm hoãn</t>
  </si>
  <si>
    <t>Giai đoạn</t>
  </si>
  <si>
    <t>D01</t>
  </si>
  <si>
    <t>Thanh toán online thật (VNPay/Momo/Stripe)</t>
  </si>
  <si>
    <t>MVP dùng thanh toán khi nhận hàng (COD); tích hợp cổng thanh toán thật cần thời gian xin tài khoản sandbox, ngoài phạm vi 10 tuần</t>
  </si>
  <si>
    <t>Giai đoạn 2</t>
  </si>
  <si>
    <t>D02</t>
  </si>
  <si>
    <t>WebSocket realtime cho đấu giá</t>
  </si>
  <si>
    <t>R1 dùng polling 3 giây, đơn giản và đủ dùng để demo; WebSocket cần thêm thời gian tìm hiểu</t>
  </si>
  <si>
    <t>D03</t>
  </si>
  <si>
    <t>Wishlist / Sản phẩm yêu thích</t>
  </si>
  <si>
    <t>Không nằm trong luồng giao dịch cốt lõi</t>
  </si>
  <si>
    <t>D04</t>
  </si>
  <si>
    <t>Đánh giá &amp; bình luận sản phẩm (Review)</t>
  </si>
  <si>
    <t>D05</t>
  </si>
  <si>
    <t>Trang quản trị Admin đầy đủ (Dashboard thống kê)</t>
  </si>
  <si>
    <t>R1 chỉ thao tác qua Postman/DBeaver cho các nghiệp vụ quản trị; dựng UI Admin đầy đủ tốn thêm ít nhất 1 sprint FE</t>
  </si>
  <si>
    <t>D06</t>
  </si>
  <si>
    <t>Responsive nâng cao / Mobile app</t>
  </si>
  <si>
    <t>R1 chỉ đảm bảo chạy tốt trên desktop; tối ưu mobile đầy đủ để sau</t>
  </si>
  <si>
    <t>D07</t>
  </si>
  <si>
    <t>Vận chuyển thật qua đơn vị vận chuyển (GHN/GHTK)</t>
  </si>
  <si>
    <t>R1 chỉ có trạng thái đơn hàng nội bộ, không tích hợp API vận chuyển thật</t>
  </si>
  <si>
    <t>D08</t>
  </si>
  <si>
    <t>Thông báo Email khi có đơn hàng / thắng đấu giá</t>
  </si>
  <si>
    <t>Cần cấu hình SMTP thật; R1 chỉ hiển thị thông báo trên giao diện (toast/alert)</t>
  </si>
  <si>
    <t>SỔ TAY RỦI RO (RISK REGISTER)</t>
  </si>
  <si>
    <t>Điểm = Xác suất x Mức độ ảnh hưởng (thang 1-5), sắp giảm dần. Rủi ro &gt;= 15 điểm cần review mỗi sprint.</t>
  </si>
  <si>
    <t>Rủi ro</t>
  </si>
  <si>
    <t>Loại</t>
  </si>
  <si>
    <t>Xác suất</t>
  </si>
  <si>
    <t>Ảnh hưởng</t>
  </si>
  <si>
    <t>Điểm</t>
  </si>
  <si>
    <t>Biện pháp giảm thiểu</t>
  </si>
  <si>
    <t>Người phụ trách</t>
  </si>
  <si>
    <t>R01</t>
  </si>
  <si>
    <t>Cả team lần đầu vừa học vừa làm Spring Boot/React nên có thể chậm tiến độ do đường cong học tập</t>
  </si>
  <si>
    <t>Kỹ thuật</t>
  </si>
  <si>
    <t>Cao</t>
  </si>
  <si>
    <t>Dành trọn Sprint 1 để ôn tập + pairing với Leader; ưu tiên hoàn thành tính năng Must trước Should</t>
  </si>
  <si>
    <t>R02</t>
  </si>
  <si>
    <t>Chỉ có 2 bạn Frontend cho toàn bộ 4 module giao diện (Auth, Catalog, Cart, Auction)</t>
  </si>
  <si>
    <t>Lịch trình</t>
  </si>
  <si>
    <t>Dùng UI đơn giản, tận dụng component có sẵn (Tailwind), không tự thiết kế phức tạp; BE hỗ trợ FE khi rảnh tay</t>
  </si>
  <si>
    <t>R03</t>
  </si>
  <si>
    <t>Xử lý đồng thời khi nhiều người cùng đặt giá trong 1 phiên đấu giá (bidding concurrency)</t>
  </si>
  <si>
    <t>Trung bình</t>
  </si>
  <si>
    <t>Dùng transaction + kiểm tra lại giá hiện tại trước khi ghi (optimistic check) ở tầng Service; kiểm thử kỹ ở Sprint 4-5</t>
  </si>
  <si>
    <t>R04</t>
  </si>
  <si>
    <t>Thành viên có lịch học/thi ở trường trùng thời gian OJT, giảm thời gian code thực tế</t>
  </si>
  <si>
    <t>Daily check-in 15 phút để phát hiện sớm chậm tiến độ; linh hoạt làm buổi tối/cuối tuần khi cần</t>
  </si>
  <si>
    <t>R05</t>
  </si>
  <si>
    <t>Chưa quen quy trình Git/PR có thể gây conflict code hoặc mất code</t>
  </si>
  <si>
    <t>Thiết lập branch/PR convention từ Sprint 1 (F00.5); bắt buộc review chéo trước khi merge vào nhánh dev</t>
  </si>
  <si>
    <t>R06</t>
  </si>
  <si>
    <t>Dồn hết việc kiểm thử, sửa lỗi và viết báo cáo vào Sprint cuối gây quá tải</t>
  </si>
  <si>
    <t>Viết Postman test và ghi chú lỗi ngay từ Sprint 2-3; bắt đầu viết báo cáo song song từ Sprint 4, không dồn hết vào Sprint 5</t>
  </si>
  <si>
    <t>Cả nhóm</t>
  </si>
  <si>
    <t>ĐỘI NGŨ, NĂNG LỰC &amp; QUY TRÌNH LÀM VIỆC</t>
  </si>
  <si>
    <t>A. CƠ CẤU ĐỘI NGŨ (5 người)</t>
  </si>
  <si>
    <t>Họ tên</t>
  </si>
  <si>
    <t>Vai trò</t>
  </si>
  <si>
    <t>Trách nhiệm chính</t>
  </si>
  <si>
    <t>Trưởng nhóm / Backend Developer</t>
  </si>
  <si>
    <t>Kiến trúc hệ thống chung, Authentication, Giỏ hàng &amp; Đặt hàng; điều phối tiến độ cả team, chốt phạm vi từng Sprint</t>
  </si>
  <si>
    <t>Backend Developer</t>
  </si>
  <si>
    <t>Hỗ trợ Authentication, Catalog (tìm kiếm/upload ảnh), viết Postman test toàn hệ thống</t>
  </si>
  <si>
    <t>Catalog (Category/Product), phân quyền Role, Auction Lite (phiên đấu giá &amp; đặt giá)</t>
  </si>
  <si>
    <t>Ngô Mạnh Quân</t>
  </si>
  <si>
    <t>Frontend Developer</t>
  </si>
  <si>
    <t>Design System, giao diện Auth, giao diện Catalog &amp; Auction</t>
  </si>
  <si>
    <t>Phạm Gia Văn</t>
  </si>
  <si>
    <t>Giao diện Giỏ hàng/Thanh toán/Đơn hàng, kiểm thử giao diện, hỗ trợ bộ lọc Catalog</t>
  </si>
  <si>
    <t>B. ĐỊNH NGHĨA SẴN SÀNG (Definition of Ready) — chưa đạt thì KHÔNG đưa vào Sprint</t>
  </si>
  <si>
    <t>• Có mô tả rõ: ai dùng, làm gì, để được gì</t>
  </si>
  <si>
    <t>• Có tiêu chí chấp nhận rõ ràng, kiểm tra được (Given-When-Then ở mức đơn giản)</t>
  </si>
  <si>
    <t>• Đã xác định phụ thuộc (Dependencies) với feature khác, và feature đó đã Done hoặc có thể làm song song</t>
  </si>
  <si>
    <t>• Ước lượng không quá 4 dev-day (mục lớn hơn phải tách nhỏ)</t>
  </si>
  <si>
    <t>• Có wireframe/tham khảo giao diện nếu có thay đổi UI</t>
  </si>
  <si>
    <t>C. ĐỊNH NGHĨA HOÀN THÀNH (Definition of Done) — chưa đạt thì KHÔNG tính là xong</t>
  </si>
  <si>
    <t>• Code merge vào nhánh dev; được ít nhất 1 người review (bắt buộc với luồng quan trọng: thanh toán, đặt hàng, đấu giá)</t>
  </si>
  <si>
    <t>• API test được bằng Postman và trả đúng kết quả cho các trường hợp chính + 1 trường hợp lỗi</t>
  </si>
  <si>
    <t>• Không còn lỗi Console/Network hiển thị đỏ ở màn hình liên quan</t>
  </si>
  <si>
    <t>• Chạy thử được trên máy của người khác trong team (không chỉ máy của người viết code)</t>
  </si>
  <si>
    <t>• Không có lỗi Critical/Major còn mở liên quan đến tính năng đó</t>
  </si>
  <si>
    <t>D. NHỊP ĐỘ LÀM VIỆC (CADENCE)</t>
  </si>
  <si>
    <t>Hoạt động</t>
  </si>
  <si>
    <t>Tần suất</t>
  </si>
  <si>
    <t>Thời lượng</t>
  </si>
  <si>
    <t>Người tham gia</t>
  </si>
  <si>
    <t>Kết quả đầu ra</t>
  </si>
  <si>
    <t>Daily check-in</t>
  </si>
  <si>
    <t>Hằng ngày, 20:00</t>
  </si>
  <si>
    <t>15 phút</t>
  </si>
  <si>
    <t>Mỗi người báo hôm qua làm gì / hôm nay làm gì / đang vướng gì</t>
  </si>
  <si>
    <t>Sprint Planning</t>
  </si>
  <si>
    <t>Đầu mỗi Sprint (2 tuần)</t>
  </si>
  <si>
    <t>60 phút</t>
  </si>
  <si>
    <t>Chốt danh sách feature &amp; người phụ trách cho Sprint</t>
  </si>
  <si>
    <t>Code review chéo</t>
  </si>
  <si>
    <t>Mỗi khi có Pull Request</t>
  </si>
  <si>
    <t>15-30 phút</t>
  </si>
  <si>
    <t>2 người liên quan</t>
  </si>
  <si>
    <t>PR được duyệt hoặc yêu cầu sửa trước khi merge</t>
  </si>
  <si>
    <t>Sprint Review / Demo nội bộ</t>
  </si>
  <si>
    <t>Cuối mỗi Sprint</t>
  </si>
  <si>
    <t>30 phút</t>
  </si>
  <si>
    <t>Demo tính năng đã xong trên môi trường chạy thật</t>
  </si>
  <si>
    <t>Retro ngắn</t>
  </si>
  <si>
    <t>20 phút</t>
  </si>
  <si>
    <t>Tối đa 2 việc cần cải thiện, có người phụ trách rõ ràng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</si>
</sst>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\S0"/>
  </numFmts>
  <fonts count="31">
    <font>
      <sz val="11"/>
      <color theme="1"/>
      <name val="Calibri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595959"/>
      <name val="Arial"/>
      <charset val="1"/>
    </font>
    <font>
      <b/>
      <sz val="13"/>
      <color rgb="FF1F3864"/>
      <name val="Arial"/>
      <charset val="1"/>
    </font>
    <font>
      <b/>
      <sz val="10"/>
      <name val="Arial"/>
      <charset val="1"/>
    </font>
    <font>
      <b/>
      <sz val="16"/>
      <color rgb="FF1F3864"/>
      <name val="Arial"/>
      <charset val="1"/>
    </font>
    <font>
      <i/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B9C"/>
      </patternFill>
    </fill>
    <fill>
      <patternFill patternType="solid">
        <fgColor rgb="FFFFEB9C"/>
        <bgColor rgb="FFF8CBAD"/>
      </patternFill>
    </fill>
    <fill>
      <patternFill patternType="solid">
        <fgColor rgb="FFC6EFCE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00"/>
        <bgColor rgb="FFDDEBF7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Border="0" applyAlignment="0" applyProtection="0"/>
    <xf numFmtId="44" fontId="10" fillId="0" borderId="0" applyBorder="0" applyAlignment="0" applyProtection="0"/>
    <xf numFmtId="9" fontId="10" fillId="0" borderId="0" applyBorder="0" applyAlignment="0" applyProtection="0"/>
    <xf numFmtId="41" fontId="10" fillId="0" borderId="0" applyBorder="0" applyAlignment="0" applyProtection="0"/>
    <xf numFmtId="42" fontId="10" fillId="0" borderId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0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12" borderId="5" applyNumberFormat="0" applyAlignment="0" applyProtection="0">
      <alignment vertical="center"/>
    </xf>
    <xf numFmtId="0" fontId="23" fillId="13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Border="1"/>
    <xf numFmtId="0" fontId="5" fillId="0" borderId="0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58" fontId="4" fillId="0" borderId="1" xfId="0" applyNumberFormat="1" applyFont="1" applyBorder="1" applyAlignment="1">
      <alignment horizontal="center" vertical="center" wrapText="1"/>
    </xf>
    <xf numFmtId="0" fontId="6" fillId="0" borderId="0" xfId="0" applyFont="1" applyBorder="1"/>
    <xf numFmtId="176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177" fontId="4" fillId="8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8" fillId="0" borderId="0" xfId="0" applyFont="1"/>
    <xf numFmtId="0" fontId="5" fillId="0" borderId="0" xfId="0" applyFont="1"/>
    <xf numFmtId="0" fontId="9" fillId="9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EB9C"/>
      <rgbColor rgb="0099CCFF"/>
      <rgbColor rgb="00FF99CC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showGridLines="0" workbookViewId="0">
      <selection activeCell="C15" sqref="C15"/>
    </sheetView>
  </sheetViews>
  <sheetFormatPr defaultColWidth="8.67592592592593" defaultRowHeight="14.4" outlineLevelCol="3"/>
  <cols>
    <col min="1" max="1" width="34" customWidth="1"/>
    <col min="2" max="2" width="16" customWidth="1"/>
    <col min="3" max="3" width="10" customWidth="1"/>
    <col min="4" max="4" width="62" customWidth="1"/>
  </cols>
  <sheetData>
    <row r="1" ht="21" spans="1:4">
      <c r="A1" s="23" t="s">
        <v>0</v>
      </c>
    </row>
    <row r="2" spans="1:4">
      <c r="A2" s="24" t="s">
        <v>1</v>
      </c>
    </row>
    <row r="4" spans="1:4">
      <c r="A4" s="2" t="s">
        <v>2</v>
      </c>
    </row>
    <row r="5" ht="25.5" customHeight="1" spans="1:4">
      <c r="A5" s="3" t="s">
        <v>3</v>
      </c>
      <c r="B5" s="3" t="s">
        <v>4</v>
      </c>
      <c r="C5" s="3" t="s">
        <v>5</v>
      </c>
      <c r="D5" s="3" t="s">
        <v>6</v>
      </c>
    </row>
    <row r="6" spans="1:4">
      <c r="A6" s="22" t="s">
        <v>7</v>
      </c>
      <c r="B6" s="5">
        <f>'2. Backlog'!F65</f>
        <v>151</v>
      </c>
      <c r="C6" s="5" t="s">
        <v>8</v>
      </c>
      <c r="D6" s="6" t="s">
        <v>9</v>
      </c>
    </row>
    <row r="7" spans="1:4">
      <c r="A7" s="4" t="s">
        <v>10</v>
      </c>
      <c r="B7" s="5">
        <v>5</v>
      </c>
      <c r="C7" s="5" t="s">
        <v>11</v>
      </c>
      <c r="D7" s="6" t="s">
        <v>12</v>
      </c>
    </row>
    <row r="8" ht="26.4" spans="1:4">
      <c r="A8" s="4" t="s">
        <v>13</v>
      </c>
      <c r="B8" s="5">
        <v>5</v>
      </c>
      <c r="C8" s="5" t="s">
        <v>8</v>
      </c>
      <c r="D8" s="6" t="s">
        <v>14</v>
      </c>
    </row>
    <row r="9" spans="1:4">
      <c r="A9" s="4" t="s">
        <v>15</v>
      </c>
      <c r="B9" s="5">
        <v>5</v>
      </c>
      <c r="C9" s="5" t="s">
        <v>16</v>
      </c>
      <c r="D9" s="6" t="s">
        <v>17</v>
      </c>
    </row>
    <row r="10" spans="1:4">
      <c r="A10" s="22" t="s">
        <v>18</v>
      </c>
      <c r="B10" s="5">
        <f>'4. Sprint Plan'!K10</f>
        <v>125</v>
      </c>
      <c r="C10" s="5" t="s">
        <v>8</v>
      </c>
      <c r="D10" s="6" t="s">
        <v>19</v>
      </c>
    </row>
    <row r="11" ht="26.4" spans="1:4">
      <c r="A11" s="4" t="s">
        <v>20</v>
      </c>
      <c r="B11" s="14">
        <f>(B10-B6)/B10</f>
        <v>-0.208</v>
      </c>
      <c r="C11" s="5" t="s">
        <v>21</v>
      </c>
      <c r="D11" s="6" t="s">
        <v>22</v>
      </c>
    </row>
    <row r="13" ht="69.75" customHeight="1" spans="1:4">
      <c r="A13" s="25" t="s">
        <v>23</v>
      </c>
      <c r="B13" s="25"/>
      <c r="C13" s="25"/>
      <c r="D13" s="25"/>
    </row>
    <row r="15" spans="1:4">
      <c r="A15" s="2" t="s">
        <v>24</v>
      </c>
    </row>
    <row r="16" ht="27.75" customHeight="1" spans="1:4">
      <c r="A16" s="26" t="s">
        <v>25</v>
      </c>
      <c r="B16" s="26"/>
      <c r="C16" s="26"/>
      <c r="D16" s="26"/>
    </row>
    <row r="17" ht="27.75" customHeight="1" spans="1:4">
      <c r="A17" s="26" t="s">
        <v>26</v>
      </c>
      <c r="B17" s="26"/>
      <c r="C17" s="26"/>
      <c r="D17" s="26"/>
    </row>
    <row r="18" ht="27.75" customHeight="1" spans="1:4">
      <c r="A18" s="26" t="s">
        <v>27</v>
      </c>
      <c r="B18" s="26"/>
      <c r="C18" s="26"/>
      <c r="D18" s="26"/>
    </row>
    <row r="19" ht="27.75" customHeight="1" spans="1:4">
      <c r="A19" s="26" t="s">
        <v>28</v>
      </c>
      <c r="B19" s="26"/>
      <c r="C19" s="26"/>
      <c r="D19" s="26"/>
    </row>
    <row r="20" ht="27.75" customHeight="1" spans="1:4">
      <c r="A20" s="26" t="s">
        <v>29</v>
      </c>
      <c r="B20" s="26"/>
      <c r="C20" s="26"/>
      <c r="D20" s="26"/>
    </row>
    <row r="21" ht="27.75" customHeight="1" spans="1:4">
      <c r="A21" s="26" t="s">
        <v>30</v>
      </c>
      <c r="B21" s="26"/>
      <c r="C21" s="26"/>
      <c r="D21" s="26"/>
    </row>
    <row r="22" ht="27.75" customHeight="1" spans="1:4">
      <c r="A22" s="26" t="s">
        <v>31</v>
      </c>
      <c r="B22" s="26"/>
      <c r="C22" s="26"/>
      <c r="D22" s="26"/>
    </row>
  </sheetData>
  <mergeCells count="8">
    <mergeCell ref="A13:D13"/>
    <mergeCell ref="A16:D16"/>
    <mergeCell ref="A17:D17"/>
    <mergeCell ref="A18:D18"/>
    <mergeCell ref="A19:D19"/>
    <mergeCell ref="A20:D20"/>
    <mergeCell ref="A21:D21"/>
    <mergeCell ref="A22:D2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showGridLines="0" zoomScale="85" zoomScaleNormal="85" workbookViewId="0">
      <pane ySplit="1" topLeftCell="A2" activePane="bottomLeft" state="frozen"/>
      <selection/>
      <selection pane="bottomLeft" activeCell="D10" sqref="D10"/>
    </sheetView>
  </sheetViews>
  <sheetFormatPr defaultColWidth="8.67592592592593" defaultRowHeight="14.4"/>
  <cols>
    <col min="1" max="1" width="10" customWidth="1"/>
    <col min="2" max="2" width="7" customWidth="1"/>
    <col min="3" max="3" width="26" customWidth="1"/>
    <col min="4" max="4" width="56" customWidth="1"/>
    <col min="5" max="5" width="10" customWidth="1"/>
    <col min="6" max="6" width="11" customWidth="1"/>
    <col min="7" max="7" width="8" customWidth="1"/>
    <col min="8" max="8" width="9" customWidth="1"/>
    <col min="9" max="9" width="20" customWidth="1"/>
    <col min="10" max="10" width="16" customWidth="1"/>
    <col min="11" max="11" width="50" customWidth="1"/>
  </cols>
  <sheetData>
    <row r="1" ht="30" customHeight="1" spans="1:11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3" t="s">
        <v>40</v>
      </c>
      <c r="J1" s="3" t="s">
        <v>41</v>
      </c>
      <c r="K1" s="3" t="s">
        <v>42</v>
      </c>
    </row>
    <row r="2" ht="52.8" spans="1:11">
      <c r="A2" s="5" t="s">
        <v>43</v>
      </c>
      <c r="B2" s="5" t="s">
        <v>44</v>
      </c>
      <c r="C2" s="6" t="s">
        <v>45</v>
      </c>
      <c r="D2" s="6" t="s">
        <v>46</v>
      </c>
      <c r="E2" s="15" t="s">
        <v>47</v>
      </c>
      <c r="F2" s="5">
        <v>3</v>
      </c>
      <c r="G2" s="16" t="s">
        <v>48</v>
      </c>
      <c r="H2" s="17">
        <v>0</v>
      </c>
      <c r="I2" s="6" t="s">
        <v>49</v>
      </c>
      <c r="J2" s="6" t="s">
        <v>50</v>
      </c>
      <c r="K2" s="6" t="s">
        <v>51</v>
      </c>
    </row>
    <row r="3" ht="52.8" spans="1:11">
      <c r="A3" s="5" t="s">
        <v>52</v>
      </c>
      <c r="B3" s="5" t="s">
        <v>44</v>
      </c>
      <c r="C3" s="6" t="s">
        <v>45</v>
      </c>
      <c r="D3" s="6" t="s">
        <v>53</v>
      </c>
      <c r="E3" s="15" t="s">
        <v>47</v>
      </c>
      <c r="F3" s="5">
        <v>1</v>
      </c>
      <c r="G3" s="16" t="s">
        <v>54</v>
      </c>
      <c r="H3" s="17" t="s">
        <v>55</v>
      </c>
      <c r="I3" s="6" t="s">
        <v>56</v>
      </c>
      <c r="J3" s="6" t="s">
        <v>43</v>
      </c>
      <c r="K3" s="6" t="s">
        <v>57</v>
      </c>
    </row>
    <row r="4" ht="66" spans="1:11">
      <c r="A4" s="5" t="s">
        <v>58</v>
      </c>
      <c r="B4" s="5" t="s">
        <v>44</v>
      </c>
      <c r="C4" s="6" t="s">
        <v>45</v>
      </c>
      <c r="D4" s="6" t="s">
        <v>59</v>
      </c>
      <c r="E4" s="15" t="s">
        <v>47</v>
      </c>
      <c r="F4" s="5">
        <v>2</v>
      </c>
      <c r="G4" s="16" t="s">
        <v>48</v>
      </c>
      <c r="H4" s="17">
        <v>0</v>
      </c>
      <c r="I4" s="6" t="s">
        <v>60</v>
      </c>
      <c r="J4" s="6" t="s">
        <v>61</v>
      </c>
      <c r="K4" s="6" t="s">
        <v>62</v>
      </c>
    </row>
    <row r="5" ht="52.8" spans="1:11">
      <c r="A5" s="5" t="s">
        <v>63</v>
      </c>
      <c r="B5" s="5" t="s">
        <v>44</v>
      </c>
      <c r="C5" s="6" t="s">
        <v>45</v>
      </c>
      <c r="D5" s="6" t="s">
        <v>64</v>
      </c>
      <c r="E5" s="15" t="s">
        <v>47</v>
      </c>
      <c r="F5" s="5">
        <v>1</v>
      </c>
      <c r="G5" s="16" t="s">
        <v>48</v>
      </c>
      <c r="H5" s="17">
        <v>0</v>
      </c>
      <c r="I5" s="6" t="s">
        <v>49</v>
      </c>
      <c r="J5" s="6" t="s">
        <v>65</v>
      </c>
      <c r="K5" s="6" t="s">
        <v>66</v>
      </c>
    </row>
    <row r="6" ht="66" spans="1:11">
      <c r="A6" s="5" t="s">
        <v>67</v>
      </c>
      <c r="B6" s="5" t="s">
        <v>44</v>
      </c>
      <c r="C6" s="6" t="s">
        <v>45</v>
      </c>
      <c r="D6" s="6" t="s">
        <v>68</v>
      </c>
      <c r="E6" s="15" t="s">
        <v>47</v>
      </c>
      <c r="F6" s="5">
        <v>1</v>
      </c>
      <c r="G6" s="16" t="s">
        <v>48</v>
      </c>
      <c r="H6" s="17">
        <v>0</v>
      </c>
      <c r="I6" s="6" t="s">
        <v>69</v>
      </c>
      <c r="J6" s="6" t="s">
        <v>63</v>
      </c>
      <c r="K6" s="6" t="s">
        <v>70</v>
      </c>
    </row>
    <row r="7" ht="79.2" spans="1:11">
      <c r="A7" s="5" t="s">
        <v>71</v>
      </c>
      <c r="B7" s="5" t="s">
        <v>44</v>
      </c>
      <c r="C7" s="6" t="s">
        <v>45</v>
      </c>
      <c r="D7" s="6" t="s">
        <v>72</v>
      </c>
      <c r="E7" s="15" t="s">
        <v>47</v>
      </c>
      <c r="F7" s="5">
        <v>1</v>
      </c>
      <c r="G7" s="16" t="s">
        <v>54</v>
      </c>
      <c r="H7" s="17">
        <v>0</v>
      </c>
      <c r="I7" s="6" t="s">
        <v>73</v>
      </c>
      <c r="J7" s="6"/>
      <c r="K7" s="6" t="s">
        <v>74</v>
      </c>
    </row>
    <row r="8" ht="66" spans="1:11">
      <c r="A8" s="5" t="s">
        <v>75</v>
      </c>
      <c r="B8" s="5" t="s">
        <v>44</v>
      </c>
      <c r="C8" s="6" t="s">
        <v>45</v>
      </c>
      <c r="D8" s="6" t="s">
        <v>76</v>
      </c>
      <c r="E8" s="15" t="s">
        <v>47</v>
      </c>
      <c r="F8" s="5">
        <v>1</v>
      </c>
      <c r="G8" s="16" t="s">
        <v>77</v>
      </c>
      <c r="H8" s="17" t="s">
        <v>55</v>
      </c>
      <c r="I8" s="6" t="s">
        <v>78</v>
      </c>
      <c r="J8" s="6"/>
      <c r="K8" s="6" t="s">
        <v>79</v>
      </c>
    </row>
    <row r="9" ht="66" spans="1:11">
      <c r="A9" s="5" t="s">
        <v>80</v>
      </c>
      <c r="B9" s="5" t="s">
        <v>44</v>
      </c>
      <c r="C9" s="6" t="s">
        <v>45</v>
      </c>
      <c r="D9" s="6" t="s">
        <v>81</v>
      </c>
      <c r="E9" s="15" t="s">
        <v>47</v>
      </c>
      <c r="F9" s="5">
        <v>5</v>
      </c>
      <c r="G9" s="16" t="s">
        <v>77</v>
      </c>
      <c r="H9" s="17" t="s">
        <v>55</v>
      </c>
      <c r="I9" s="6" t="s">
        <v>69</v>
      </c>
      <c r="J9" s="6" t="s">
        <v>43</v>
      </c>
      <c r="K9" s="6" t="s">
        <v>82</v>
      </c>
    </row>
    <row r="10" ht="66" spans="1:11">
      <c r="A10" s="5" t="s">
        <v>83</v>
      </c>
      <c r="B10" s="5" t="s">
        <v>44</v>
      </c>
      <c r="C10" s="6" t="s">
        <v>45</v>
      </c>
      <c r="D10" s="6" t="s">
        <v>84</v>
      </c>
      <c r="E10" s="15" t="s">
        <v>47</v>
      </c>
      <c r="F10" s="5">
        <v>3</v>
      </c>
      <c r="G10" s="16" t="s">
        <v>48</v>
      </c>
      <c r="H10" s="17" t="s">
        <v>55</v>
      </c>
      <c r="I10" s="6" t="s">
        <v>85</v>
      </c>
      <c r="J10" s="6" t="s">
        <v>43</v>
      </c>
      <c r="K10" s="6" t="s">
        <v>86</v>
      </c>
    </row>
    <row r="11" ht="52.8" spans="1:11">
      <c r="A11" s="5" t="s">
        <v>87</v>
      </c>
      <c r="B11" s="5" t="s">
        <v>44</v>
      </c>
      <c r="C11" s="6" t="s">
        <v>45</v>
      </c>
      <c r="D11" s="6" t="s">
        <v>88</v>
      </c>
      <c r="E11" s="18" t="s">
        <v>89</v>
      </c>
      <c r="F11" s="5">
        <v>3</v>
      </c>
      <c r="G11" s="16" t="s">
        <v>48</v>
      </c>
      <c r="H11" s="17" t="s">
        <v>55</v>
      </c>
      <c r="I11" s="6" t="s">
        <v>90</v>
      </c>
      <c r="J11" s="6" t="s">
        <v>43</v>
      </c>
      <c r="K11" s="6" t="s">
        <v>91</v>
      </c>
    </row>
    <row r="12" ht="66" spans="1:11">
      <c r="A12" s="5" t="s">
        <v>92</v>
      </c>
      <c r="B12" s="5" t="s">
        <v>44</v>
      </c>
      <c r="C12" s="6" t="s">
        <v>45</v>
      </c>
      <c r="D12" s="6" t="s">
        <v>93</v>
      </c>
      <c r="E12" s="18" t="s">
        <v>89</v>
      </c>
      <c r="F12" s="5">
        <v>3</v>
      </c>
      <c r="G12" s="16" t="s">
        <v>54</v>
      </c>
      <c r="H12" s="17" t="s">
        <v>55</v>
      </c>
      <c r="I12" s="6" t="s">
        <v>73</v>
      </c>
      <c r="J12" s="6" t="s">
        <v>43</v>
      </c>
      <c r="K12" s="6" t="s">
        <v>94</v>
      </c>
    </row>
    <row r="13" ht="66" spans="1:11">
      <c r="A13" s="5" t="s">
        <v>95</v>
      </c>
      <c r="B13" s="5" t="s">
        <v>44</v>
      </c>
      <c r="C13" s="6" t="s">
        <v>45</v>
      </c>
      <c r="D13" s="6" t="s">
        <v>96</v>
      </c>
      <c r="E13" s="18" t="s">
        <v>89</v>
      </c>
      <c r="F13" s="5">
        <v>3</v>
      </c>
      <c r="G13" s="16" t="s">
        <v>77</v>
      </c>
      <c r="H13" s="17" t="s">
        <v>55</v>
      </c>
      <c r="I13" s="6" t="s">
        <v>78</v>
      </c>
      <c r="J13" s="6" t="s">
        <v>43</v>
      </c>
      <c r="K13" s="6" t="s">
        <v>97</v>
      </c>
    </row>
    <row r="14" spans="1:11">
      <c r="A14" s="19"/>
      <c r="B14" s="19"/>
      <c r="C14" s="20"/>
      <c r="D14" s="20"/>
      <c r="E14" s="19"/>
      <c r="F14" s="19"/>
      <c r="G14" s="19"/>
      <c r="H14" s="21"/>
      <c r="I14" s="20"/>
      <c r="J14" s="20"/>
      <c r="K14" s="20"/>
    </row>
    <row r="15" ht="52.8" spans="1:11">
      <c r="A15" s="5" t="s">
        <v>98</v>
      </c>
      <c r="B15" s="5" t="s">
        <v>99</v>
      </c>
      <c r="C15" s="6" t="s">
        <v>100</v>
      </c>
      <c r="D15" s="6" t="s">
        <v>101</v>
      </c>
      <c r="E15" s="15" t="s">
        <v>47</v>
      </c>
      <c r="F15" s="5">
        <v>1</v>
      </c>
      <c r="G15" s="16" t="s">
        <v>54</v>
      </c>
      <c r="H15" s="17">
        <v>1</v>
      </c>
      <c r="I15" s="6" t="s">
        <v>73</v>
      </c>
      <c r="J15" s="6" t="s">
        <v>102</v>
      </c>
      <c r="K15" s="6" t="s">
        <v>103</v>
      </c>
    </row>
    <row r="16" ht="52.8" spans="1:11">
      <c r="A16" s="5" t="s">
        <v>104</v>
      </c>
      <c r="B16" s="5" t="s">
        <v>105</v>
      </c>
      <c r="C16" s="6" t="s">
        <v>106</v>
      </c>
      <c r="D16" s="6" t="s">
        <v>107</v>
      </c>
      <c r="E16" s="15" t="s">
        <v>47</v>
      </c>
      <c r="F16" s="5">
        <v>1</v>
      </c>
      <c r="G16" s="16" t="s">
        <v>54</v>
      </c>
      <c r="H16" s="17">
        <v>1</v>
      </c>
      <c r="I16" s="6" t="s">
        <v>108</v>
      </c>
      <c r="J16" s="6" t="s">
        <v>109</v>
      </c>
      <c r="K16" s="6" t="s">
        <v>110</v>
      </c>
    </row>
    <row r="17" ht="39.6" spans="1:11">
      <c r="A17" s="5" t="s">
        <v>111</v>
      </c>
      <c r="B17" s="5" t="s">
        <v>105</v>
      </c>
      <c r="C17" s="6" t="s">
        <v>106</v>
      </c>
      <c r="D17" s="6" t="s">
        <v>112</v>
      </c>
      <c r="E17" s="15" t="s">
        <v>47</v>
      </c>
      <c r="F17" s="5">
        <v>1</v>
      </c>
      <c r="G17" s="16" t="s">
        <v>54</v>
      </c>
      <c r="H17" s="17" t="s">
        <v>113</v>
      </c>
      <c r="I17" s="6" t="s">
        <v>108</v>
      </c>
      <c r="J17" s="6" t="s">
        <v>104</v>
      </c>
      <c r="K17" s="6" t="s">
        <v>114</v>
      </c>
    </row>
    <row r="18" ht="52.8" spans="1:11">
      <c r="A18" s="5" t="s">
        <v>115</v>
      </c>
      <c r="B18" s="5" t="s">
        <v>99</v>
      </c>
      <c r="C18" s="6" t="s">
        <v>100</v>
      </c>
      <c r="D18" s="6" t="s">
        <v>116</v>
      </c>
      <c r="E18" s="15" t="s">
        <v>47</v>
      </c>
      <c r="F18" s="5">
        <v>1</v>
      </c>
      <c r="G18" s="16" t="s">
        <v>77</v>
      </c>
      <c r="H18" s="17">
        <v>1</v>
      </c>
      <c r="I18" s="6" t="s">
        <v>78</v>
      </c>
      <c r="J18" s="6" t="s">
        <v>117</v>
      </c>
      <c r="K18" s="6" t="s">
        <v>118</v>
      </c>
    </row>
    <row r="19" ht="52.8" spans="1:11">
      <c r="A19" s="5" t="s">
        <v>119</v>
      </c>
      <c r="B19" s="5" t="s">
        <v>120</v>
      </c>
      <c r="C19" s="6" t="s">
        <v>121</v>
      </c>
      <c r="D19" s="6" t="s">
        <v>122</v>
      </c>
      <c r="E19" s="15" t="s">
        <v>47</v>
      </c>
      <c r="F19" s="5">
        <v>3</v>
      </c>
      <c r="G19" s="16" t="s">
        <v>77</v>
      </c>
      <c r="H19" s="17">
        <v>1</v>
      </c>
      <c r="I19" s="6" t="s">
        <v>69</v>
      </c>
      <c r="J19" s="6" t="s">
        <v>123</v>
      </c>
      <c r="K19" s="6" t="s">
        <v>118</v>
      </c>
    </row>
    <row r="20" ht="52.8" spans="1:11">
      <c r="A20" s="5" t="s">
        <v>124</v>
      </c>
      <c r="B20" s="5" t="s">
        <v>120</v>
      </c>
      <c r="C20" s="6" t="s">
        <v>121</v>
      </c>
      <c r="D20" s="6" t="s">
        <v>125</v>
      </c>
      <c r="E20" s="15" t="s">
        <v>47</v>
      </c>
      <c r="F20" s="5">
        <v>3</v>
      </c>
      <c r="G20" s="16" t="s">
        <v>77</v>
      </c>
      <c r="H20" s="17">
        <v>1</v>
      </c>
      <c r="I20" s="6" t="s">
        <v>69</v>
      </c>
      <c r="J20" s="6" t="s">
        <v>123</v>
      </c>
      <c r="K20" s="6" t="s">
        <v>126</v>
      </c>
    </row>
    <row r="21" ht="52.8" spans="1:11">
      <c r="A21" s="5" t="s">
        <v>127</v>
      </c>
      <c r="B21" s="5" t="s">
        <v>120</v>
      </c>
      <c r="C21" s="6" t="s">
        <v>121</v>
      </c>
      <c r="D21" s="6" t="s">
        <v>128</v>
      </c>
      <c r="E21" s="15" t="s">
        <v>47</v>
      </c>
      <c r="F21" s="5">
        <v>3</v>
      </c>
      <c r="G21" s="16" t="s">
        <v>77</v>
      </c>
      <c r="H21" s="17">
        <v>1</v>
      </c>
      <c r="I21" s="6" t="s">
        <v>69</v>
      </c>
      <c r="J21" s="6" t="s">
        <v>123</v>
      </c>
      <c r="K21" s="6" t="s">
        <v>129</v>
      </c>
    </row>
    <row r="22" ht="26.4" spans="1:11">
      <c r="A22" s="5" t="s">
        <v>130</v>
      </c>
      <c r="B22" s="5" t="s">
        <v>131</v>
      </c>
      <c r="C22" s="6" t="s">
        <v>132</v>
      </c>
      <c r="D22" s="6" t="s">
        <v>133</v>
      </c>
      <c r="E22" s="15" t="s">
        <v>47</v>
      </c>
      <c r="F22" s="5">
        <v>2</v>
      </c>
      <c r="G22" s="16" t="s">
        <v>54</v>
      </c>
      <c r="H22" s="17">
        <v>1</v>
      </c>
      <c r="I22" s="6" t="s">
        <v>69</v>
      </c>
      <c r="J22" s="6" t="s">
        <v>134</v>
      </c>
      <c r="K22" s="6" t="s">
        <v>135</v>
      </c>
    </row>
    <row r="23" ht="66" spans="1:11">
      <c r="A23" s="5" t="s">
        <v>136</v>
      </c>
      <c r="B23" s="5" t="s">
        <v>131</v>
      </c>
      <c r="C23" s="6" t="s">
        <v>137</v>
      </c>
      <c r="D23" s="6" t="s">
        <v>138</v>
      </c>
      <c r="E23" s="15" t="s">
        <v>47</v>
      </c>
      <c r="F23" s="5">
        <v>3</v>
      </c>
      <c r="G23" s="16" t="s">
        <v>54</v>
      </c>
      <c r="H23" s="17">
        <v>1</v>
      </c>
      <c r="I23" s="6" t="s">
        <v>139</v>
      </c>
      <c r="J23" s="6" t="s">
        <v>140</v>
      </c>
      <c r="K23" s="6" t="s">
        <v>141</v>
      </c>
    </row>
    <row r="24" ht="52.8" spans="1:11">
      <c r="A24" s="5" t="s">
        <v>136</v>
      </c>
      <c r="B24" s="5" t="s">
        <v>131</v>
      </c>
      <c r="C24" s="6" t="s">
        <v>137</v>
      </c>
      <c r="D24" s="6" t="s">
        <v>142</v>
      </c>
      <c r="E24" s="15" t="s">
        <v>47</v>
      </c>
      <c r="F24" s="5">
        <v>2</v>
      </c>
      <c r="G24" s="16" t="s">
        <v>54</v>
      </c>
      <c r="H24" s="17">
        <v>1</v>
      </c>
      <c r="I24" s="6" t="s">
        <v>56</v>
      </c>
      <c r="J24" s="6" t="s">
        <v>140</v>
      </c>
      <c r="K24" s="6" t="s">
        <v>143</v>
      </c>
    </row>
    <row r="25" ht="52.8" spans="1:11">
      <c r="A25" s="5" t="s">
        <v>144</v>
      </c>
      <c r="B25" s="5" t="s">
        <v>131</v>
      </c>
      <c r="C25" s="6" t="s">
        <v>137</v>
      </c>
      <c r="D25" s="6" t="s">
        <v>145</v>
      </c>
      <c r="E25" s="15" t="s">
        <v>47</v>
      </c>
      <c r="F25" s="5">
        <v>4</v>
      </c>
      <c r="G25" s="16" t="s">
        <v>54</v>
      </c>
      <c r="H25" s="17">
        <v>1</v>
      </c>
      <c r="I25" s="6" t="s">
        <v>139</v>
      </c>
      <c r="J25" s="6" t="s">
        <v>136</v>
      </c>
      <c r="K25" s="6" t="s">
        <v>146</v>
      </c>
    </row>
    <row r="26" ht="52.8" spans="1:11">
      <c r="A26" s="5" t="s">
        <v>147</v>
      </c>
      <c r="B26" s="5" t="s">
        <v>131</v>
      </c>
      <c r="C26" s="6" t="s">
        <v>137</v>
      </c>
      <c r="D26" s="6" t="s">
        <v>148</v>
      </c>
      <c r="E26" s="15" t="s">
        <v>47</v>
      </c>
      <c r="F26" s="5">
        <v>4</v>
      </c>
      <c r="G26" s="16" t="s">
        <v>77</v>
      </c>
      <c r="H26" s="17">
        <v>1</v>
      </c>
      <c r="I26" s="6" t="s">
        <v>60</v>
      </c>
      <c r="J26" s="6" t="s">
        <v>149</v>
      </c>
      <c r="K26" s="6" t="s">
        <v>150</v>
      </c>
    </row>
    <row r="27" ht="66" spans="1:11">
      <c r="A27" s="5" t="s">
        <v>151</v>
      </c>
      <c r="B27" s="5" t="s">
        <v>131</v>
      </c>
      <c r="C27" s="6" t="s">
        <v>137</v>
      </c>
      <c r="D27" s="6" t="s">
        <v>152</v>
      </c>
      <c r="E27" s="15" t="s">
        <v>47</v>
      </c>
      <c r="F27" s="5">
        <v>3</v>
      </c>
      <c r="G27" s="16" t="s">
        <v>54</v>
      </c>
      <c r="H27" s="17">
        <v>1</v>
      </c>
      <c r="I27" s="6" t="s">
        <v>108</v>
      </c>
      <c r="J27" s="6" t="s">
        <v>153</v>
      </c>
      <c r="K27" s="6" t="s">
        <v>154</v>
      </c>
    </row>
    <row r="28" spans="1:11">
      <c r="A28" s="19"/>
      <c r="B28" s="19"/>
      <c r="C28" s="20"/>
      <c r="D28" s="20"/>
      <c r="E28" s="19"/>
      <c r="F28" s="19"/>
      <c r="G28" s="19"/>
      <c r="H28" s="21"/>
      <c r="I28" s="20"/>
      <c r="J28" s="20"/>
      <c r="K28" s="20"/>
    </row>
    <row r="29" ht="26.4" spans="1:11">
      <c r="A29" s="5" t="s">
        <v>119</v>
      </c>
      <c r="B29" s="5" t="s">
        <v>131</v>
      </c>
      <c r="C29" s="6" t="s">
        <v>137</v>
      </c>
      <c r="D29" s="6" t="s">
        <v>155</v>
      </c>
      <c r="E29" s="15" t="s">
        <v>47</v>
      </c>
      <c r="F29" s="5">
        <v>2</v>
      </c>
      <c r="G29" s="16" t="s">
        <v>54</v>
      </c>
      <c r="H29" s="17">
        <v>2</v>
      </c>
      <c r="I29" s="6" t="s">
        <v>156</v>
      </c>
      <c r="J29" s="6" t="s">
        <v>115</v>
      </c>
      <c r="K29" s="6" t="s">
        <v>157</v>
      </c>
    </row>
    <row r="30" ht="26.4" spans="1:11">
      <c r="A30" s="5" t="s">
        <v>124</v>
      </c>
      <c r="B30" s="5" t="s">
        <v>131</v>
      </c>
      <c r="C30" s="6" t="s">
        <v>137</v>
      </c>
      <c r="D30" s="6" t="s">
        <v>158</v>
      </c>
      <c r="E30" s="10" t="s">
        <v>89</v>
      </c>
      <c r="F30" s="5">
        <v>2</v>
      </c>
      <c r="G30" s="16" t="s">
        <v>54</v>
      </c>
      <c r="H30" s="17">
        <v>2</v>
      </c>
      <c r="I30" s="6" t="s">
        <v>159</v>
      </c>
      <c r="J30" s="6" t="s">
        <v>115</v>
      </c>
      <c r="K30" s="6" t="s">
        <v>160</v>
      </c>
    </row>
    <row r="31" ht="26.4" spans="1:11">
      <c r="A31" s="5" t="s">
        <v>161</v>
      </c>
      <c r="B31" s="5" t="s">
        <v>120</v>
      </c>
      <c r="C31" s="6" t="s">
        <v>132</v>
      </c>
      <c r="D31" s="6" t="s">
        <v>162</v>
      </c>
      <c r="E31" s="15" t="s">
        <v>47</v>
      </c>
      <c r="F31" s="5">
        <v>3</v>
      </c>
      <c r="G31" s="16" t="s">
        <v>77</v>
      </c>
      <c r="H31" s="17">
        <v>1</v>
      </c>
      <c r="I31" s="6" t="s">
        <v>163</v>
      </c>
      <c r="J31" s="6" t="s">
        <v>75</v>
      </c>
      <c r="K31" s="6" t="s">
        <v>164</v>
      </c>
    </row>
    <row r="32" ht="26.4" spans="1:11">
      <c r="A32" s="5" t="s">
        <v>165</v>
      </c>
      <c r="B32" s="5" t="s">
        <v>120</v>
      </c>
      <c r="C32" s="6" t="s">
        <v>132</v>
      </c>
      <c r="D32" s="6" t="s">
        <v>166</v>
      </c>
      <c r="E32" s="15" t="s">
        <v>47</v>
      </c>
      <c r="F32" s="5">
        <v>3</v>
      </c>
      <c r="G32" s="16" t="s">
        <v>77</v>
      </c>
      <c r="H32" s="17">
        <v>2</v>
      </c>
      <c r="I32" s="6" t="s">
        <v>163</v>
      </c>
      <c r="J32" s="6" t="s">
        <v>115</v>
      </c>
      <c r="K32" s="6" t="s">
        <v>167</v>
      </c>
    </row>
    <row r="33" ht="26.4" spans="1:11">
      <c r="A33" s="5" t="s">
        <v>168</v>
      </c>
      <c r="B33" s="5" t="s">
        <v>120</v>
      </c>
      <c r="C33" s="6" t="s">
        <v>132</v>
      </c>
      <c r="D33" s="6" t="s">
        <v>169</v>
      </c>
      <c r="E33" s="10" t="s">
        <v>89</v>
      </c>
      <c r="F33" s="5">
        <v>2</v>
      </c>
      <c r="G33" s="16" t="s">
        <v>77</v>
      </c>
      <c r="H33" s="17">
        <v>2</v>
      </c>
      <c r="I33" s="6" t="s">
        <v>170</v>
      </c>
      <c r="J33" s="6" t="s">
        <v>165</v>
      </c>
      <c r="K33" s="6" t="s">
        <v>171</v>
      </c>
    </row>
    <row r="34" spans="1:11">
      <c r="A34" s="5" t="s">
        <v>172</v>
      </c>
      <c r="B34" s="5" t="s">
        <v>99</v>
      </c>
      <c r="C34" s="6" t="s">
        <v>173</v>
      </c>
      <c r="D34" s="6" t="s">
        <v>174</v>
      </c>
      <c r="E34" s="15" t="s">
        <v>47</v>
      </c>
      <c r="F34" s="5">
        <v>3</v>
      </c>
      <c r="G34" s="16" t="s">
        <v>54</v>
      </c>
      <c r="H34" s="17">
        <v>2</v>
      </c>
      <c r="I34" s="6" t="s">
        <v>156</v>
      </c>
      <c r="J34" s="6" t="s">
        <v>119</v>
      </c>
      <c r="K34" s="6" t="s">
        <v>175</v>
      </c>
    </row>
    <row r="35" spans="1:11">
      <c r="A35" s="5" t="s">
        <v>176</v>
      </c>
      <c r="B35" s="5" t="s">
        <v>99</v>
      </c>
      <c r="C35" s="6" t="s">
        <v>173</v>
      </c>
      <c r="D35" s="6" t="s">
        <v>177</v>
      </c>
      <c r="E35" s="15" t="s">
        <v>47</v>
      </c>
      <c r="F35" s="5">
        <v>4</v>
      </c>
      <c r="G35" s="16" t="s">
        <v>54</v>
      </c>
      <c r="H35" s="17">
        <v>2</v>
      </c>
      <c r="I35" s="6" t="s">
        <v>156</v>
      </c>
      <c r="J35" s="6" t="s">
        <v>172</v>
      </c>
      <c r="K35" s="6" t="s">
        <v>178</v>
      </c>
    </row>
    <row r="36" ht="26.4" spans="1:11">
      <c r="A36" s="5" t="s">
        <v>179</v>
      </c>
      <c r="B36" s="5" t="s">
        <v>99</v>
      </c>
      <c r="C36" s="6" t="s">
        <v>173</v>
      </c>
      <c r="D36" s="6" t="s">
        <v>180</v>
      </c>
      <c r="E36" s="15" t="s">
        <v>47</v>
      </c>
      <c r="F36" s="5">
        <v>3</v>
      </c>
      <c r="G36" s="16" t="s">
        <v>54</v>
      </c>
      <c r="H36" s="17">
        <v>2</v>
      </c>
      <c r="I36" s="6" t="s">
        <v>159</v>
      </c>
      <c r="J36" s="6" t="s">
        <v>176</v>
      </c>
      <c r="K36" s="6" t="s">
        <v>181</v>
      </c>
    </row>
    <row r="37" spans="1:11">
      <c r="A37" s="5" t="s">
        <v>182</v>
      </c>
      <c r="B37" s="5" t="s">
        <v>99</v>
      </c>
      <c r="C37" s="6" t="s">
        <v>173</v>
      </c>
      <c r="D37" s="6" t="s">
        <v>183</v>
      </c>
      <c r="E37" s="10" t="s">
        <v>89</v>
      </c>
      <c r="F37" s="5">
        <v>2</v>
      </c>
      <c r="G37" s="16" t="s">
        <v>54</v>
      </c>
      <c r="H37" s="17">
        <v>3</v>
      </c>
      <c r="I37" s="6" t="s">
        <v>159</v>
      </c>
      <c r="J37" s="6" t="s">
        <v>176</v>
      </c>
      <c r="K37" s="6" t="s">
        <v>184</v>
      </c>
    </row>
    <row r="38" spans="1:11">
      <c r="A38" s="5" t="s">
        <v>185</v>
      </c>
      <c r="B38" s="5" t="s">
        <v>105</v>
      </c>
      <c r="C38" s="6" t="s">
        <v>186</v>
      </c>
      <c r="D38" s="6" t="s">
        <v>187</v>
      </c>
      <c r="E38" s="15" t="s">
        <v>47</v>
      </c>
      <c r="F38" s="5">
        <v>3</v>
      </c>
      <c r="G38" s="16" t="s">
        <v>77</v>
      </c>
      <c r="H38" s="17">
        <v>3</v>
      </c>
      <c r="I38" s="6" t="s">
        <v>170</v>
      </c>
      <c r="J38" s="6" t="s">
        <v>188</v>
      </c>
      <c r="K38" s="6" t="s">
        <v>189</v>
      </c>
    </row>
    <row r="39" spans="1:11">
      <c r="A39" s="5" t="s">
        <v>190</v>
      </c>
      <c r="B39" s="5" t="s">
        <v>105</v>
      </c>
      <c r="C39" s="6" t="s">
        <v>186</v>
      </c>
      <c r="D39" s="6" t="s">
        <v>191</v>
      </c>
      <c r="E39" s="15" t="s">
        <v>47</v>
      </c>
      <c r="F39" s="5">
        <v>3</v>
      </c>
      <c r="G39" s="16" t="s">
        <v>77</v>
      </c>
      <c r="H39" s="17">
        <v>3</v>
      </c>
      <c r="I39" s="6" t="s">
        <v>163</v>
      </c>
      <c r="J39" s="6" t="s">
        <v>179</v>
      </c>
      <c r="K39" s="6" t="s">
        <v>192</v>
      </c>
    </row>
    <row r="40" spans="1:11">
      <c r="A40" s="5" t="s">
        <v>193</v>
      </c>
      <c r="B40" s="5" t="s">
        <v>105</v>
      </c>
      <c r="C40" s="6" t="s">
        <v>186</v>
      </c>
      <c r="D40" s="6" t="s">
        <v>194</v>
      </c>
      <c r="E40" s="15" t="s">
        <v>47</v>
      </c>
      <c r="F40" s="5">
        <v>2</v>
      </c>
      <c r="G40" s="16" t="s">
        <v>77</v>
      </c>
      <c r="H40" s="17">
        <v>3</v>
      </c>
      <c r="I40" s="6" t="s">
        <v>163</v>
      </c>
      <c r="J40" s="6" t="s">
        <v>176</v>
      </c>
      <c r="K40" s="6" t="s">
        <v>195</v>
      </c>
    </row>
    <row r="41" spans="1:11">
      <c r="A41" s="5" t="s">
        <v>196</v>
      </c>
      <c r="B41" s="5" t="s">
        <v>105</v>
      </c>
      <c r="C41" s="6" t="s">
        <v>186</v>
      </c>
      <c r="D41" s="6" t="s">
        <v>197</v>
      </c>
      <c r="E41" s="10" t="s">
        <v>89</v>
      </c>
      <c r="F41" s="5">
        <v>2</v>
      </c>
      <c r="G41" s="16" t="s">
        <v>77</v>
      </c>
      <c r="H41" s="17">
        <v>3</v>
      </c>
      <c r="I41" s="6" t="s">
        <v>170</v>
      </c>
      <c r="J41" s="6" t="s">
        <v>179</v>
      </c>
      <c r="K41" s="6" t="s">
        <v>198</v>
      </c>
    </row>
    <row r="42" ht="26.4" spans="1:11">
      <c r="A42" s="5" t="s">
        <v>199</v>
      </c>
      <c r="B42" s="5" t="s">
        <v>200</v>
      </c>
      <c r="C42" s="6" t="s">
        <v>201</v>
      </c>
      <c r="D42" s="6" t="s">
        <v>202</v>
      </c>
      <c r="E42" s="15" t="s">
        <v>47</v>
      </c>
      <c r="F42" s="5">
        <v>4</v>
      </c>
      <c r="G42" s="16" t="s">
        <v>54</v>
      </c>
      <c r="H42" s="17">
        <v>3</v>
      </c>
      <c r="I42" s="6" t="s">
        <v>203</v>
      </c>
      <c r="J42" s="6" t="s">
        <v>176</v>
      </c>
      <c r="K42" s="6" t="s">
        <v>204</v>
      </c>
    </row>
    <row r="43" ht="26.4" spans="1:11">
      <c r="A43" s="5" t="s">
        <v>205</v>
      </c>
      <c r="B43" s="5" t="s">
        <v>200</v>
      </c>
      <c r="C43" s="6" t="s">
        <v>201</v>
      </c>
      <c r="D43" s="6" t="s">
        <v>206</v>
      </c>
      <c r="E43" s="15" t="s">
        <v>47</v>
      </c>
      <c r="F43" s="5">
        <v>2</v>
      </c>
      <c r="G43" s="16" t="s">
        <v>54</v>
      </c>
      <c r="H43" s="17">
        <v>3</v>
      </c>
      <c r="I43" s="6" t="s">
        <v>203</v>
      </c>
      <c r="J43" s="6" t="s">
        <v>199</v>
      </c>
      <c r="K43" s="6" t="s">
        <v>207</v>
      </c>
    </row>
    <row r="44" ht="26.4" spans="1:11">
      <c r="A44" s="5" t="s">
        <v>208</v>
      </c>
      <c r="B44" s="5" t="s">
        <v>200</v>
      </c>
      <c r="C44" s="6" t="s">
        <v>201</v>
      </c>
      <c r="D44" s="6" t="s">
        <v>209</v>
      </c>
      <c r="E44" s="15" t="s">
        <v>47</v>
      </c>
      <c r="F44" s="5">
        <v>4</v>
      </c>
      <c r="G44" s="16" t="s">
        <v>54</v>
      </c>
      <c r="H44" s="17">
        <v>3</v>
      </c>
      <c r="I44" s="6" t="s">
        <v>203</v>
      </c>
      <c r="J44" s="6" t="s">
        <v>205</v>
      </c>
      <c r="K44" s="6" t="s">
        <v>210</v>
      </c>
    </row>
    <row r="45" ht="26.4" spans="1:11">
      <c r="A45" s="5" t="s">
        <v>211</v>
      </c>
      <c r="B45" s="5" t="s">
        <v>200</v>
      </c>
      <c r="C45" s="6" t="s">
        <v>201</v>
      </c>
      <c r="D45" s="6" t="s">
        <v>212</v>
      </c>
      <c r="E45" s="15" t="s">
        <v>47</v>
      </c>
      <c r="F45" s="5">
        <v>2</v>
      </c>
      <c r="G45" s="16" t="s">
        <v>54</v>
      </c>
      <c r="H45" s="17">
        <v>3</v>
      </c>
      <c r="I45" s="6" t="s">
        <v>156</v>
      </c>
      <c r="J45" s="6" t="s">
        <v>208</v>
      </c>
      <c r="K45" s="6" t="s">
        <v>213</v>
      </c>
    </row>
    <row r="46" ht="26.4" spans="1:11">
      <c r="A46" s="5" t="s">
        <v>214</v>
      </c>
      <c r="B46" s="5" t="s">
        <v>200</v>
      </c>
      <c r="C46" s="6" t="s">
        <v>201</v>
      </c>
      <c r="D46" s="6" t="s">
        <v>215</v>
      </c>
      <c r="E46" s="10" t="s">
        <v>89</v>
      </c>
      <c r="F46" s="5">
        <v>2</v>
      </c>
      <c r="G46" s="16" t="s">
        <v>54</v>
      </c>
      <c r="H46" s="17">
        <v>4</v>
      </c>
      <c r="I46" s="6" t="s">
        <v>156</v>
      </c>
      <c r="J46" s="6" t="s">
        <v>208</v>
      </c>
      <c r="K46" s="6" t="s">
        <v>216</v>
      </c>
    </row>
    <row r="47" spans="1:11">
      <c r="A47" s="5" t="s">
        <v>217</v>
      </c>
      <c r="B47" s="5" t="s">
        <v>218</v>
      </c>
      <c r="C47" s="6" t="s">
        <v>219</v>
      </c>
      <c r="D47" s="6" t="s">
        <v>220</v>
      </c>
      <c r="E47" s="15" t="s">
        <v>47</v>
      </c>
      <c r="F47" s="5">
        <v>3</v>
      </c>
      <c r="G47" s="16" t="s">
        <v>77</v>
      </c>
      <c r="H47" s="17">
        <v>4</v>
      </c>
      <c r="I47" s="6" t="s">
        <v>170</v>
      </c>
      <c r="J47" s="6" t="s">
        <v>199</v>
      </c>
      <c r="K47" s="6" t="s">
        <v>221</v>
      </c>
    </row>
    <row r="48" ht="26.4" spans="1:11">
      <c r="A48" s="5" t="s">
        <v>222</v>
      </c>
      <c r="B48" s="5" t="s">
        <v>218</v>
      </c>
      <c r="C48" s="6" t="s">
        <v>219</v>
      </c>
      <c r="D48" s="6" t="s">
        <v>223</v>
      </c>
      <c r="E48" s="15" t="s">
        <v>47</v>
      </c>
      <c r="F48" s="5">
        <v>3</v>
      </c>
      <c r="G48" s="16" t="s">
        <v>77</v>
      </c>
      <c r="H48" s="17">
        <v>4</v>
      </c>
      <c r="I48" s="6" t="s">
        <v>170</v>
      </c>
      <c r="J48" s="6" t="s">
        <v>208</v>
      </c>
      <c r="K48" s="6" t="s">
        <v>224</v>
      </c>
    </row>
    <row r="49" spans="1:11">
      <c r="A49" s="5" t="s">
        <v>225</v>
      </c>
      <c r="B49" s="5" t="s">
        <v>218</v>
      </c>
      <c r="C49" s="6" t="s">
        <v>219</v>
      </c>
      <c r="D49" s="6" t="s">
        <v>226</v>
      </c>
      <c r="E49" s="15" t="s">
        <v>47</v>
      </c>
      <c r="F49" s="5">
        <v>2</v>
      </c>
      <c r="G49" s="16" t="s">
        <v>77</v>
      </c>
      <c r="H49" s="17">
        <v>4</v>
      </c>
      <c r="I49" s="6" t="s">
        <v>163</v>
      </c>
      <c r="J49" s="6" t="s">
        <v>211</v>
      </c>
      <c r="K49" s="6" t="s">
        <v>227</v>
      </c>
    </row>
    <row r="50" ht="26.4" spans="1:11">
      <c r="A50" s="5" t="s">
        <v>228</v>
      </c>
      <c r="B50" s="5" t="s">
        <v>229</v>
      </c>
      <c r="C50" s="6" t="s">
        <v>230</v>
      </c>
      <c r="D50" s="6" t="s">
        <v>231</v>
      </c>
      <c r="E50" s="15" t="s">
        <v>47</v>
      </c>
      <c r="F50" s="5">
        <v>4</v>
      </c>
      <c r="G50" s="16" t="s">
        <v>54</v>
      </c>
      <c r="H50" s="17">
        <v>4</v>
      </c>
      <c r="I50" s="6" t="s">
        <v>156</v>
      </c>
      <c r="J50" s="6" t="s">
        <v>176</v>
      </c>
      <c r="K50" s="6" t="s">
        <v>232</v>
      </c>
    </row>
    <row r="51" ht="26.4" spans="1:11">
      <c r="A51" s="5" t="s">
        <v>233</v>
      </c>
      <c r="B51" s="5" t="s">
        <v>229</v>
      </c>
      <c r="C51" s="6" t="s">
        <v>230</v>
      </c>
      <c r="D51" s="6" t="s">
        <v>234</v>
      </c>
      <c r="E51" s="15" t="s">
        <v>47</v>
      </c>
      <c r="F51" s="5">
        <v>4</v>
      </c>
      <c r="G51" s="16" t="s">
        <v>54</v>
      </c>
      <c r="H51" s="17">
        <v>4</v>
      </c>
      <c r="I51" s="6" t="s">
        <v>156</v>
      </c>
      <c r="J51" s="6" t="s">
        <v>228</v>
      </c>
      <c r="K51" s="6" t="s">
        <v>235</v>
      </c>
    </row>
    <row r="52" ht="26.4" spans="1:11">
      <c r="A52" s="5" t="s">
        <v>236</v>
      </c>
      <c r="B52" s="5" t="s">
        <v>229</v>
      </c>
      <c r="C52" s="6" t="s">
        <v>230</v>
      </c>
      <c r="D52" s="6" t="s">
        <v>237</v>
      </c>
      <c r="E52" s="15" t="s">
        <v>47</v>
      </c>
      <c r="F52" s="5">
        <v>3</v>
      </c>
      <c r="G52" s="16" t="s">
        <v>54</v>
      </c>
      <c r="H52" s="17">
        <v>4</v>
      </c>
      <c r="I52" s="6" t="s">
        <v>156</v>
      </c>
      <c r="J52" s="6" t="s">
        <v>233</v>
      </c>
      <c r="K52" s="6" t="s">
        <v>238</v>
      </c>
    </row>
    <row r="53" spans="1:11">
      <c r="A53" s="5" t="s">
        <v>239</v>
      </c>
      <c r="B53" s="5" t="s">
        <v>229</v>
      </c>
      <c r="C53" s="6" t="s">
        <v>230</v>
      </c>
      <c r="D53" s="6" t="s">
        <v>240</v>
      </c>
      <c r="E53" s="10" t="s">
        <v>89</v>
      </c>
      <c r="F53" s="5">
        <v>2</v>
      </c>
      <c r="G53" s="16" t="s">
        <v>54</v>
      </c>
      <c r="H53" s="17">
        <v>4</v>
      </c>
      <c r="I53" s="6" t="s">
        <v>203</v>
      </c>
      <c r="J53" s="6" t="s">
        <v>233</v>
      </c>
      <c r="K53" s="6" t="s">
        <v>241</v>
      </c>
    </row>
    <row r="54" spans="1:11">
      <c r="A54" s="5" t="s">
        <v>242</v>
      </c>
      <c r="B54" s="5" t="s">
        <v>243</v>
      </c>
      <c r="C54" s="6" t="s">
        <v>244</v>
      </c>
      <c r="D54" s="6" t="s">
        <v>245</v>
      </c>
      <c r="E54" s="15" t="s">
        <v>47</v>
      </c>
      <c r="F54" s="5">
        <v>2</v>
      </c>
      <c r="G54" s="16" t="s">
        <v>77</v>
      </c>
      <c r="H54" s="17">
        <v>5</v>
      </c>
      <c r="I54" s="6" t="s">
        <v>163</v>
      </c>
      <c r="J54" s="6" t="s">
        <v>228</v>
      </c>
      <c r="K54" s="6" t="s">
        <v>246</v>
      </c>
    </row>
    <row r="55" ht="26.4" spans="1:11">
      <c r="A55" s="5" t="s">
        <v>247</v>
      </c>
      <c r="B55" s="5" t="s">
        <v>243</v>
      </c>
      <c r="C55" s="6" t="s">
        <v>244</v>
      </c>
      <c r="D55" s="6" t="s">
        <v>248</v>
      </c>
      <c r="E55" s="15" t="s">
        <v>47</v>
      </c>
      <c r="F55" s="5">
        <v>4</v>
      </c>
      <c r="G55" s="16" t="s">
        <v>77</v>
      </c>
      <c r="H55" s="17">
        <v>5</v>
      </c>
      <c r="I55" s="6" t="s">
        <v>163</v>
      </c>
      <c r="J55" s="6" t="s">
        <v>249</v>
      </c>
      <c r="K55" s="6" t="s">
        <v>250</v>
      </c>
    </row>
    <row r="56" spans="1:11">
      <c r="A56" s="5" t="s">
        <v>251</v>
      </c>
      <c r="B56" s="5" t="s">
        <v>243</v>
      </c>
      <c r="C56" s="6" t="s">
        <v>244</v>
      </c>
      <c r="D56" s="6" t="s">
        <v>252</v>
      </c>
      <c r="E56" s="15" t="s">
        <v>47</v>
      </c>
      <c r="F56" s="5">
        <v>1</v>
      </c>
      <c r="G56" s="16" t="s">
        <v>77</v>
      </c>
      <c r="H56" s="17">
        <v>5</v>
      </c>
      <c r="I56" s="6" t="s">
        <v>170</v>
      </c>
      <c r="J56" s="6" t="s">
        <v>247</v>
      </c>
      <c r="K56" s="6" t="s">
        <v>253</v>
      </c>
    </row>
    <row r="57" ht="26.4" spans="1:11">
      <c r="A57" s="5" t="s">
        <v>254</v>
      </c>
      <c r="B57" s="5" t="s">
        <v>255</v>
      </c>
      <c r="C57" s="6" t="s">
        <v>256</v>
      </c>
      <c r="D57" s="6" t="s">
        <v>257</v>
      </c>
      <c r="E57" s="15" t="s">
        <v>47</v>
      </c>
      <c r="F57" s="5">
        <v>2</v>
      </c>
      <c r="G57" s="16" t="s">
        <v>54</v>
      </c>
      <c r="H57" s="17">
        <v>5</v>
      </c>
      <c r="I57" s="6" t="s">
        <v>159</v>
      </c>
      <c r="J57" s="6" t="s">
        <v>258</v>
      </c>
      <c r="K57" s="6" t="s">
        <v>259</v>
      </c>
    </row>
    <row r="58" ht="26.4" spans="1:11">
      <c r="A58" s="5" t="s">
        <v>260</v>
      </c>
      <c r="B58" s="5" t="s">
        <v>255</v>
      </c>
      <c r="C58" s="6" t="s">
        <v>256</v>
      </c>
      <c r="D58" s="6" t="s">
        <v>261</v>
      </c>
      <c r="E58" s="15" t="s">
        <v>47</v>
      </c>
      <c r="F58" s="5">
        <v>2</v>
      </c>
      <c r="G58" s="16" t="s">
        <v>54</v>
      </c>
      <c r="H58" s="17">
        <v>5</v>
      </c>
      <c r="I58" s="6" t="s">
        <v>203</v>
      </c>
      <c r="J58" s="6" t="s">
        <v>254</v>
      </c>
      <c r="K58" s="6" t="s">
        <v>262</v>
      </c>
    </row>
    <row r="59" ht="26.4" spans="1:11">
      <c r="A59" s="5" t="s">
        <v>263</v>
      </c>
      <c r="B59" s="5" t="s">
        <v>255</v>
      </c>
      <c r="C59" s="6" t="s">
        <v>256</v>
      </c>
      <c r="D59" s="6" t="s">
        <v>264</v>
      </c>
      <c r="E59" s="15" t="s">
        <v>47</v>
      </c>
      <c r="F59" s="5">
        <v>2</v>
      </c>
      <c r="G59" s="16" t="s">
        <v>77</v>
      </c>
      <c r="H59" s="17">
        <v>4</v>
      </c>
      <c r="I59" s="6" t="s">
        <v>170</v>
      </c>
      <c r="J59" s="6" t="s">
        <v>222</v>
      </c>
      <c r="K59" s="6" t="s">
        <v>265</v>
      </c>
    </row>
    <row r="60" spans="1:11">
      <c r="A60" s="5" t="s">
        <v>266</v>
      </c>
      <c r="B60" s="5" t="s">
        <v>255</v>
      </c>
      <c r="C60" s="6" t="s">
        <v>256</v>
      </c>
      <c r="D60" s="6" t="s">
        <v>267</v>
      </c>
      <c r="E60" s="15" t="s">
        <v>47</v>
      </c>
      <c r="F60" s="5">
        <v>2</v>
      </c>
      <c r="G60" s="16" t="s">
        <v>54</v>
      </c>
      <c r="H60" s="17">
        <v>5</v>
      </c>
      <c r="I60" s="6" t="s">
        <v>156</v>
      </c>
      <c r="J60" s="6" t="s">
        <v>260</v>
      </c>
      <c r="K60" s="6" t="s">
        <v>268</v>
      </c>
    </row>
    <row r="61" ht="26.4" spans="1:11">
      <c r="A61" s="5" t="s">
        <v>269</v>
      </c>
      <c r="B61" s="5" t="s">
        <v>255</v>
      </c>
      <c r="C61" s="6" t="s">
        <v>256</v>
      </c>
      <c r="D61" s="6" t="s">
        <v>270</v>
      </c>
      <c r="E61" s="10" t="s">
        <v>89</v>
      </c>
      <c r="F61" s="5">
        <v>2</v>
      </c>
      <c r="G61" s="16" t="s">
        <v>54</v>
      </c>
      <c r="H61" s="17">
        <v>5</v>
      </c>
      <c r="I61" s="6" t="s">
        <v>203</v>
      </c>
      <c r="J61" s="6" t="s">
        <v>260</v>
      </c>
      <c r="K61" s="6" t="s">
        <v>271</v>
      </c>
    </row>
    <row r="62" spans="1:11">
      <c r="A62" s="5" t="s">
        <v>272</v>
      </c>
      <c r="B62" s="5" t="s">
        <v>273</v>
      </c>
      <c r="C62" s="6" t="s">
        <v>274</v>
      </c>
      <c r="D62" s="6" t="s">
        <v>275</v>
      </c>
      <c r="E62" s="15" t="s">
        <v>47</v>
      </c>
      <c r="F62" s="5">
        <v>2</v>
      </c>
      <c r="G62" s="16" t="s">
        <v>54</v>
      </c>
      <c r="H62" s="17">
        <v>5</v>
      </c>
      <c r="I62" s="6" t="s">
        <v>203</v>
      </c>
      <c r="J62" s="6" t="s">
        <v>276</v>
      </c>
      <c r="K62" s="6" t="s">
        <v>277</v>
      </c>
    </row>
    <row r="63" ht="26.4" spans="1:11">
      <c r="A63" s="5" t="s">
        <v>278</v>
      </c>
      <c r="B63" s="5" t="s">
        <v>273</v>
      </c>
      <c r="C63" s="6" t="s">
        <v>274</v>
      </c>
      <c r="D63" s="6" t="s">
        <v>279</v>
      </c>
      <c r="E63" s="15" t="s">
        <v>47</v>
      </c>
      <c r="F63" s="5">
        <v>3</v>
      </c>
      <c r="G63" s="16" t="s">
        <v>54</v>
      </c>
      <c r="H63" s="17">
        <v>5</v>
      </c>
      <c r="I63" s="6" t="s">
        <v>280</v>
      </c>
      <c r="J63" s="6" t="s">
        <v>272</v>
      </c>
      <c r="K63" s="6" t="s">
        <v>281</v>
      </c>
    </row>
    <row r="64" ht="26.4" spans="1:11">
      <c r="A64" s="5" t="s">
        <v>282</v>
      </c>
      <c r="B64" s="5" t="s">
        <v>273</v>
      </c>
      <c r="C64" s="6" t="s">
        <v>274</v>
      </c>
      <c r="D64" s="6" t="s">
        <v>283</v>
      </c>
      <c r="E64" s="15" t="s">
        <v>47</v>
      </c>
      <c r="F64" s="5">
        <v>2</v>
      </c>
      <c r="G64" s="16" t="s">
        <v>77</v>
      </c>
      <c r="H64" s="17">
        <v>5</v>
      </c>
      <c r="I64" s="6" t="s">
        <v>284</v>
      </c>
      <c r="J64" s="6" t="s">
        <v>278</v>
      </c>
      <c r="K64" s="6" t="s">
        <v>285</v>
      </c>
    </row>
    <row r="65" spans="1:11">
      <c r="A65" s="4"/>
      <c r="B65" s="4"/>
      <c r="C65" s="4"/>
      <c r="D65" s="22" t="s">
        <v>286</v>
      </c>
      <c r="E65" s="4"/>
      <c r="F65" s="5">
        <f>SUM(F2:F64)</f>
        <v>151</v>
      </c>
      <c r="G65" s="4"/>
      <c r="H65" s="4"/>
      <c r="I65" s="4"/>
      <c r="J65" s="4"/>
      <c r="K65" s="4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showGridLines="0" workbookViewId="0">
      <pane ySplit="3" topLeftCell="A4" activePane="bottomLeft" state="frozen"/>
      <selection/>
      <selection pane="bottomLeft" activeCell="B5" sqref="B5"/>
    </sheetView>
  </sheetViews>
  <sheetFormatPr defaultColWidth="8.67592592592593" defaultRowHeight="14.4" outlineLevelCol="7"/>
  <cols>
    <col min="1" max="1" width="8" customWidth="1"/>
    <col min="2" max="2" width="32" customWidth="1"/>
    <col min="3" max="3" width="9" customWidth="1"/>
    <col min="4" max="4" width="11" customWidth="1"/>
    <col min="5" max="5" width="15" customWidth="1"/>
    <col min="6" max="8" width="13" customWidth="1"/>
  </cols>
  <sheetData>
    <row r="1" ht="21.75" customHeight="1" spans="1:8">
      <c r="A1" s="1" t="s">
        <v>287</v>
      </c>
      <c r="B1" s="1"/>
      <c r="C1" s="1"/>
      <c r="D1" s="1"/>
      <c r="E1" s="1"/>
      <c r="F1" s="1"/>
      <c r="G1" s="1"/>
      <c r="H1" s="1"/>
    </row>
    <row r="3" ht="30" customHeight="1" spans="1:8">
      <c r="A3" s="3" t="s">
        <v>33</v>
      </c>
      <c r="B3" s="3" t="s">
        <v>34</v>
      </c>
      <c r="C3" s="3" t="s">
        <v>38</v>
      </c>
      <c r="D3" s="3" t="s">
        <v>288</v>
      </c>
      <c r="E3" s="3" t="s">
        <v>37</v>
      </c>
      <c r="F3" s="3" t="s">
        <v>289</v>
      </c>
      <c r="G3" s="3" t="s">
        <v>290</v>
      </c>
      <c r="H3" s="3" t="s">
        <v>291</v>
      </c>
    </row>
    <row r="4" spans="1:8">
      <c r="A4" s="5" t="s">
        <v>44</v>
      </c>
      <c r="B4" s="6" t="s">
        <v>45</v>
      </c>
      <c r="C4" s="5" t="s">
        <v>48</v>
      </c>
      <c r="D4" s="5">
        <f>COUNTIF('2. Backlog'!$B$2:$B$64,A4)</f>
        <v>12</v>
      </c>
      <c r="E4" s="5">
        <f>SUMIF('2. Backlog'!$B$2:$B$64,A4,'2. Backlog'!$F$2:$F$64)</f>
        <v>27</v>
      </c>
      <c r="F4" s="14">
        <f>E4/E$17</f>
        <v>0.178807947019868</v>
      </c>
      <c r="G4" s="5" t="str">
        <f>"S"&amp;_xlfn.MINIFS('2. Backlog'!$H$2:$H$64,'2. Backlog'!$B$2:$B$64,A4)</f>
        <v>S0</v>
      </c>
      <c r="H4" s="5" t="str">
        <f>"S"&amp;_xlfn.MAXIFS('2. Backlog'!$H$2:$H$64,'2. Backlog'!$B$2:$B$64,A4)</f>
        <v>S0</v>
      </c>
    </row>
    <row r="5" spans="1:8">
      <c r="A5" s="5" t="s">
        <v>131</v>
      </c>
      <c r="B5" s="6" t="s">
        <v>137</v>
      </c>
      <c r="C5" s="5" t="s">
        <v>54</v>
      </c>
      <c r="D5" s="5">
        <f>COUNTIF('2. Backlog'!$B$2:$B$64,A5)</f>
        <v>8</v>
      </c>
      <c r="E5" s="5">
        <f>SUMIF('2. Backlog'!$B$2:$B$64,A5,'2. Backlog'!$F$2:$F$64)</f>
        <v>22</v>
      </c>
      <c r="F5" s="14">
        <f>E5/E$17</f>
        <v>0.145695364238411</v>
      </c>
      <c r="G5" s="5" t="str">
        <f>"S"&amp;_xlfn.MINIFS('2. Backlog'!$H$2:$H$64,'2. Backlog'!$B$2:$B$64,A5)</f>
        <v>S1</v>
      </c>
      <c r="H5" s="5" t="str">
        <f>"S"&amp;_xlfn.MAXIFS('2. Backlog'!$H$2:$H$64,'2. Backlog'!$B$2:$B$64,A5)</f>
        <v>S2</v>
      </c>
    </row>
    <row r="6" spans="1:8">
      <c r="A6" s="5" t="s">
        <v>120</v>
      </c>
      <c r="B6" s="6" t="s">
        <v>121</v>
      </c>
      <c r="C6" s="5" t="s">
        <v>77</v>
      </c>
      <c r="D6" s="5">
        <f>COUNTIF('2. Backlog'!$B$2:$B$64,A6)</f>
        <v>6</v>
      </c>
      <c r="E6" s="5">
        <f>SUMIF('2. Backlog'!$B$2:$B$64,A6,'2. Backlog'!$F$2:$F$64)</f>
        <v>17</v>
      </c>
      <c r="F6" s="14">
        <f>E6/E$17</f>
        <v>0.112582781456954</v>
      </c>
      <c r="G6" s="5" t="str">
        <f>"S"&amp;_xlfn.MINIFS('2. Backlog'!$H$2:$H$64,'2. Backlog'!$B$2:$B$64,A6)</f>
        <v>S1</v>
      </c>
      <c r="H6" s="5" t="str">
        <f>"S"&amp;_xlfn.MAXIFS('2. Backlog'!$H$2:$H$64,'2. Backlog'!$B$2:$B$64,A6)</f>
        <v>S2</v>
      </c>
    </row>
    <row r="7" ht="26.4" spans="1:8">
      <c r="A7" s="5" t="s">
        <v>99</v>
      </c>
      <c r="B7" s="6" t="s">
        <v>100</v>
      </c>
      <c r="C7" s="5" t="s">
        <v>77</v>
      </c>
      <c r="D7" s="5">
        <f>COUNTIF('2. Backlog'!$B$2:$B$64,A7)</f>
        <v>6</v>
      </c>
      <c r="E7" s="5">
        <f>SUMIF('2. Backlog'!$B$2:$B$64,A7,'2. Backlog'!$F$2:$F$64)</f>
        <v>14</v>
      </c>
      <c r="F7" s="14">
        <f>E7/E$17</f>
        <v>0.0927152317880795</v>
      </c>
      <c r="G7" s="5" t="str">
        <f>"S"&amp;_xlfn.MINIFS('2. Backlog'!$H$2:$H$64,'2. Backlog'!$B$2:$B$64,A7)</f>
        <v>S1</v>
      </c>
      <c r="H7" s="5" t="str">
        <f>"S"&amp;_xlfn.MAXIFS('2. Backlog'!$H$2:$H$64,'2. Backlog'!$B$2:$B$64,A7)</f>
        <v>S3</v>
      </c>
    </row>
    <row r="8" spans="1:8">
      <c r="A8" s="5" t="s">
        <v>105</v>
      </c>
      <c r="B8" s="6" t="s">
        <v>106</v>
      </c>
      <c r="C8" s="5" t="s">
        <v>77</v>
      </c>
      <c r="D8" s="5">
        <f>COUNTIF('2. Backlog'!$B$2:$B$64,A8)</f>
        <v>6</v>
      </c>
      <c r="E8" s="5">
        <f>SUMIF('2. Backlog'!$B$2:$B$64,A8,'2. Backlog'!$F$2:$F$64)</f>
        <v>12</v>
      </c>
      <c r="F8" s="14">
        <f t="shared" ref="F8:F16" si="0">E8/E$17</f>
        <v>0.0794701986754967</v>
      </c>
      <c r="G8" s="5" t="str">
        <f>"S"&amp;_xlfn.MINIFS('2. Backlog'!$H$2:$H$64,'2. Backlog'!$B$2:$B$64,A8)</f>
        <v>S1</v>
      </c>
      <c r="H8" s="5" t="str">
        <f>"S"&amp;_xlfn.MAXIFS('2. Backlog'!$H$2:$H$64,'2. Backlog'!$B$2:$B$64,A8)</f>
        <v>S3</v>
      </c>
    </row>
    <row r="9" spans="1:8">
      <c r="A9" s="5" t="s">
        <v>200</v>
      </c>
      <c r="B9" s="6" t="s">
        <v>173</v>
      </c>
      <c r="C9" s="5" t="s">
        <v>54</v>
      </c>
      <c r="D9" s="5">
        <f>COUNTIF('2. Backlog'!$B$2:$B$64,A9)</f>
        <v>5</v>
      </c>
      <c r="E9" s="5">
        <f>SUMIF('2. Backlog'!$B$2:$B$64,A9,'2. Backlog'!$F$2:$F$64)</f>
        <v>14</v>
      </c>
      <c r="F9" s="14">
        <f t="shared" si="0"/>
        <v>0.0927152317880795</v>
      </c>
      <c r="G9" s="5" t="str">
        <f>"S"&amp;_xlfn.MINIFS('2. Backlog'!$H$2:$H$64,'2. Backlog'!$B$2:$B$64,A9)</f>
        <v>S3</v>
      </c>
      <c r="H9" s="5" t="str">
        <f>"S"&amp;_xlfn.MAXIFS('2. Backlog'!$H$2:$H$64,'2. Backlog'!$B$2:$B$64,A9)</f>
        <v>S4</v>
      </c>
    </row>
    <row r="10" spans="1:8">
      <c r="A10" s="5" t="s">
        <v>218</v>
      </c>
      <c r="B10" s="6" t="s">
        <v>186</v>
      </c>
      <c r="C10" s="5" t="s">
        <v>77</v>
      </c>
      <c r="D10" s="5">
        <f>COUNTIF('2. Backlog'!$B$2:$B$64,A10)</f>
        <v>3</v>
      </c>
      <c r="E10" s="5">
        <f>SUMIF('2. Backlog'!$B$2:$B$64,A10,'2. Backlog'!$F$2:$F$64)</f>
        <v>8</v>
      </c>
      <c r="F10" s="14">
        <f t="shared" si="0"/>
        <v>0.0529801324503311</v>
      </c>
      <c r="G10" s="5" t="str">
        <f>"S"&amp;_xlfn.MINIFS('2. Backlog'!$H$2:$H$64,'2. Backlog'!$B$2:$B$64,A10)</f>
        <v>S4</v>
      </c>
      <c r="H10" s="5" t="str">
        <f>"S"&amp;_xlfn.MAXIFS('2. Backlog'!$H$2:$H$64,'2. Backlog'!$B$2:$B$64,A10)</f>
        <v>S4</v>
      </c>
    </row>
    <row r="11" spans="1:8">
      <c r="A11" s="5" t="s">
        <v>229</v>
      </c>
      <c r="B11" s="6" t="s">
        <v>201</v>
      </c>
      <c r="C11" s="5" t="s">
        <v>54</v>
      </c>
      <c r="D11" s="5">
        <f>COUNTIF('2. Backlog'!$B$2:$B$64,A11)</f>
        <v>4</v>
      </c>
      <c r="E11" s="5">
        <f>SUMIF('2. Backlog'!$B$2:$B$64,A11,'2. Backlog'!$F$2:$F$64)</f>
        <v>13</v>
      </c>
      <c r="F11" s="14">
        <f t="shared" si="0"/>
        <v>0.0860927152317881</v>
      </c>
      <c r="G11" s="5" t="str">
        <f>"S"&amp;_xlfn.MINIFS('2. Backlog'!$H$2:$H$64,'2. Backlog'!$B$2:$B$64,A11)</f>
        <v>S4</v>
      </c>
      <c r="H11" s="5" t="str">
        <f>"S"&amp;_xlfn.MAXIFS('2. Backlog'!$H$2:$H$64,'2. Backlog'!$B$2:$B$64,A11)</f>
        <v>S4</v>
      </c>
    </row>
    <row r="12" spans="1:8">
      <c r="A12" s="5" t="s">
        <v>243</v>
      </c>
      <c r="B12" s="6" t="s">
        <v>219</v>
      </c>
      <c r="C12" s="5" t="s">
        <v>77</v>
      </c>
      <c r="D12" s="5">
        <f>COUNTIF('2. Backlog'!$B$2:$B$64,A12)</f>
        <v>3</v>
      </c>
      <c r="E12" s="5">
        <f>SUMIF('2. Backlog'!$B$2:$B$64,A12,'2. Backlog'!$F$2:$F$64)</f>
        <v>7</v>
      </c>
      <c r="F12" s="14">
        <f t="shared" si="0"/>
        <v>0.0463576158940397</v>
      </c>
      <c r="G12" s="5" t="str">
        <f>"S"&amp;_xlfn.MINIFS('2. Backlog'!$H$2:$H$64,'2. Backlog'!$B$2:$B$64,A12)</f>
        <v>S5</v>
      </c>
      <c r="H12" s="5" t="str">
        <f>"S"&amp;_xlfn.MAXIFS('2. Backlog'!$H$2:$H$64,'2. Backlog'!$B$2:$B$64,A12)</f>
        <v>S5</v>
      </c>
    </row>
    <row r="13" spans="1:8">
      <c r="A13" s="5" t="s">
        <v>255</v>
      </c>
      <c r="B13" s="6" t="s">
        <v>230</v>
      </c>
      <c r="C13" s="5" t="s">
        <v>54</v>
      </c>
      <c r="D13" s="5">
        <f>COUNTIF('2. Backlog'!$B$2:$B$64,A13)</f>
        <v>5</v>
      </c>
      <c r="E13" s="5">
        <f>SUMIF('2. Backlog'!$B$2:$B$64,A13,'2. Backlog'!$F$2:$F$64)</f>
        <v>10</v>
      </c>
      <c r="F13" s="14">
        <f t="shared" si="0"/>
        <v>0.0662251655629139</v>
      </c>
      <c r="G13" s="5" t="str">
        <f>"S"&amp;_xlfn.MINIFS('2. Backlog'!$H$2:$H$64,'2. Backlog'!$B$2:$B$64,A13)</f>
        <v>S4</v>
      </c>
      <c r="H13" s="5" t="str">
        <f>"S"&amp;_xlfn.MAXIFS('2. Backlog'!$H$2:$H$64,'2. Backlog'!$B$2:$B$64,A13)</f>
        <v>S5</v>
      </c>
    </row>
    <row r="14" spans="1:8">
      <c r="A14" s="5" t="s">
        <v>273</v>
      </c>
      <c r="B14" s="6" t="s">
        <v>244</v>
      </c>
      <c r="C14" s="5" t="s">
        <v>77</v>
      </c>
      <c r="D14" s="5">
        <f>COUNTIF('2. Backlog'!$B$2:$B$64,A14)</f>
        <v>3</v>
      </c>
      <c r="E14" s="5">
        <f>SUMIF('2. Backlog'!$B$2:$B$64,A14,'2. Backlog'!$F$2:$F$64)</f>
        <v>7</v>
      </c>
      <c r="F14" s="14">
        <f t="shared" si="0"/>
        <v>0.0463576158940397</v>
      </c>
      <c r="G14" s="5" t="str">
        <f>"S"&amp;_xlfn.MINIFS('2. Backlog'!$H$2:$H$64,'2. Backlog'!$B$2:$B$64,A14)</f>
        <v>S5</v>
      </c>
      <c r="H14" s="5" t="str">
        <f>"S"&amp;_xlfn.MAXIFS('2. Backlog'!$H$2:$H$64,'2. Backlog'!$B$2:$B$64,A14)</f>
        <v>S5</v>
      </c>
    </row>
    <row r="15" spans="1:8">
      <c r="A15" s="5" t="s">
        <v>292</v>
      </c>
      <c r="B15" s="6" t="s">
        <v>256</v>
      </c>
      <c r="C15" s="5" t="s">
        <v>48</v>
      </c>
      <c r="D15" s="5">
        <f>COUNTIF('2. Backlog'!$B$2:$B$64,A15)</f>
        <v>0</v>
      </c>
      <c r="E15" s="5">
        <f>SUMIF('2. Backlog'!$B$2:$B$64,A15,'2. Backlog'!$F$2:$F$64)</f>
        <v>0</v>
      </c>
      <c r="F15" s="14">
        <f t="shared" si="0"/>
        <v>0</v>
      </c>
      <c r="G15" s="5" t="str">
        <f>"S"&amp;_xlfn.MINIFS('2. Backlog'!$H$2:$H$64,'2. Backlog'!$B$2:$B$64,A15)</f>
        <v>S0</v>
      </c>
      <c r="H15" s="5" t="str">
        <f>"S"&amp;_xlfn.MAXIFS('2. Backlog'!$H$2:$H$64,'2. Backlog'!$B$2:$B$64,A15)</f>
        <v>S0</v>
      </c>
    </row>
    <row r="16" spans="1:8">
      <c r="A16" s="5" t="s">
        <v>293</v>
      </c>
      <c r="B16" s="6" t="s">
        <v>274</v>
      </c>
      <c r="C16" s="5" t="s">
        <v>48</v>
      </c>
      <c r="D16" s="5">
        <f>COUNTIF('2. Backlog'!$B$2:$B$64,A16)</f>
        <v>0</v>
      </c>
      <c r="E16" s="5">
        <f>SUMIF('2. Backlog'!$B$2:$B$64,A16,'2. Backlog'!$F$2:$F$64)</f>
        <v>0</v>
      </c>
      <c r="F16" s="14">
        <f t="shared" si="0"/>
        <v>0</v>
      </c>
      <c r="G16" s="5" t="str">
        <f>"S"&amp;_xlfn.MINIFS('2. Backlog'!$H$2:$H$64,'2. Backlog'!$B$2:$B$64,A16)</f>
        <v>S0</v>
      </c>
      <c r="H16" s="5" t="str">
        <f>"S"&amp;_xlfn.MAXIFS('2. Backlog'!$H$2:$H$64,'2. Backlog'!$B$2:$B$64,A16)</f>
        <v>S0</v>
      </c>
    </row>
    <row r="17" spans="1:8">
      <c r="A17" s="4"/>
      <c r="B17" s="4" t="s">
        <v>294</v>
      </c>
      <c r="C17" s="4"/>
      <c r="D17" s="5">
        <f>SUM(D4:D16)</f>
        <v>61</v>
      </c>
      <c r="E17" s="5">
        <f>SUM(E4:E16)</f>
        <v>151</v>
      </c>
      <c r="F17" s="14">
        <f>E17/E17</f>
        <v>1</v>
      </c>
      <c r="G17" s="4"/>
      <c r="H17" s="4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tabSelected="1" workbookViewId="0">
      <pane ySplit="4" topLeftCell="A5" activePane="bottomLeft" state="frozen"/>
      <selection/>
      <selection pane="bottomLeft" activeCell="E6" sqref="E6"/>
    </sheetView>
  </sheetViews>
  <sheetFormatPr defaultColWidth="8.67592592592593" defaultRowHeight="14.4"/>
  <cols>
    <col min="1" max="1" width="8" customWidth="1"/>
    <col min="2" max="3" width="12" customWidth="1"/>
    <col min="4" max="4" width="9" customWidth="1"/>
    <col min="5" max="5" width="46" customWidth="1"/>
    <col min="6" max="6" width="9" customWidth="1"/>
    <col min="7" max="7" width="8" customWidth="1"/>
    <col min="8" max="8" width="9" customWidth="1"/>
    <col min="9" max="9" width="8" customWidth="1"/>
    <col min="10" max="12" width="10" customWidth="1"/>
  </cols>
  <sheetData>
    <row r="1" ht="19.5" customHeight="1" spans="1:12">
      <c r="A1" s="13" t="s">
        <v>295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ht="30" customHeight="1" spans="1:12">
      <c r="A2" s="11" t="s">
        <v>296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30" customHeight="1" spans="1:12">
      <c r="A4" s="3" t="s">
        <v>39</v>
      </c>
      <c r="B4" s="3" t="s">
        <v>297</v>
      </c>
      <c r="C4" s="3" t="s">
        <v>298</v>
      </c>
      <c r="D4" s="3" t="s">
        <v>299</v>
      </c>
      <c r="E4" s="3" t="s">
        <v>300</v>
      </c>
      <c r="F4" s="3" t="s">
        <v>301</v>
      </c>
      <c r="G4" s="3" t="s">
        <v>302</v>
      </c>
      <c r="H4" s="3" t="s">
        <v>303</v>
      </c>
      <c r="I4" s="3" t="s">
        <v>304</v>
      </c>
      <c r="J4" s="3" t="s">
        <v>305</v>
      </c>
      <c r="K4" s="3" t="s">
        <v>306</v>
      </c>
      <c r="L4" s="3" t="s">
        <v>307</v>
      </c>
    </row>
    <row r="5" ht="26.4" spans="1:12">
      <c r="A5" s="5" t="s">
        <v>113</v>
      </c>
      <c r="B5" s="12">
        <v>46305</v>
      </c>
      <c r="C5" s="5" t="s">
        <v>308</v>
      </c>
      <c r="D5" s="5">
        <v>2</v>
      </c>
      <c r="E5" s="6" t="s">
        <v>309</v>
      </c>
      <c r="F5" s="5">
        <f>SUMIFS('2. Backlog'!$F$2:$F$64,'2. Backlog'!$G$2:$G$64,"BE",'2. Backlog'!$H$2:$H$64,1)</f>
        <v>16</v>
      </c>
      <c r="G5" s="5">
        <v>15</v>
      </c>
      <c r="H5" s="5">
        <f>SUMIFS('2. Backlog'!$F$2:$F$64,'2. Backlog'!$G$2:$G$64,"FE",'2. Backlog'!$H$2:$H$64,1)</f>
        <v>17</v>
      </c>
      <c r="I5" s="5">
        <v>10</v>
      </c>
      <c r="J5" s="5">
        <f>F5+H5</f>
        <v>33</v>
      </c>
      <c r="K5" s="5">
        <f>G5+I5</f>
        <v>25</v>
      </c>
      <c r="L5" s="14">
        <f>J5/K5</f>
        <v>1.32</v>
      </c>
    </row>
    <row r="6" ht="26.4" spans="1:12">
      <c r="A6" s="5" t="s">
        <v>310</v>
      </c>
      <c r="B6" s="5" t="s">
        <v>311</v>
      </c>
      <c r="C6" s="5" t="s">
        <v>312</v>
      </c>
      <c r="D6" s="5">
        <v>2</v>
      </c>
      <c r="E6" s="6" t="s">
        <v>313</v>
      </c>
      <c r="F6" s="5">
        <f>SUMIFS('2. Backlog'!$F$2:$F$64,'2. Backlog'!$G$2:$G$64,"BE",'2. Backlog'!$H$2:$H$64,2)</f>
        <v>14</v>
      </c>
      <c r="G6" s="5">
        <v>15</v>
      </c>
      <c r="H6" s="5">
        <f>SUMIFS('2. Backlog'!$F$2:$F$64,'2. Backlog'!$G$2:$G$64,"FE",'2. Backlog'!$H$2:$H$64,2)</f>
        <v>5</v>
      </c>
      <c r="I6" s="5">
        <v>10</v>
      </c>
      <c r="J6" s="5">
        <f>F6+H6</f>
        <v>19</v>
      </c>
      <c r="K6" s="5">
        <f>G6+I6</f>
        <v>25</v>
      </c>
      <c r="L6" s="14">
        <f>J6/K6</f>
        <v>0.76</v>
      </c>
    </row>
    <row r="7" spans="1:12">
      <c r="A7" s="5" t="s">
        <v>314</v>
      </c>
      <c r="B7" s="5" t="s">
        <v>315</v>
      </c>
      <c r="C7" s="5" t="s">
        <v>316</v>
      </c>
      <c r="D7" s="5">
        <v>2</v>
      </c>
      <c r="E7" s="6" t="s">
        <v>317</v>
      </c>
      <c r="F7" s="5">
        <f>SUMIFS('2. Backlog'!$F$2:$F$64,'2. Backlog'!$G$2:$G$64,"BE",'2. Backlog'!$H$2:$H$64,3)</f>
        <v>14</v>
      </c>
      <c r="G7" s="5">
        <v>15</v>
      </c>
      <c r="H7" s="5">
        <f>SUMIFS('2. Backlog'!$F$2:$F$64,'2. Backlog'!$G$2:$G$64,"FE",'2. Backlog'!$H$2:$H$64,3)</f>
        <v>10</v>
      </c>
      <c r="I7" s="5">
        <v>10</v>
      </c>
      <c r="J7" s="5">
        <f>F7+H7</f>
        <v>24</v>
      </c>
      <c r="K7" s="5">
        <f>G7+I7</f>
        <v>25</v>
      </c>
      <c r="L7" s="14">
        <f>J7/K7</f>
        <v>0.96</v>
      </c>
    </row>
    <row r="8" ht="26.4" spans="1:12">
      <c r="A8" s="5" t="s">
        <v>318</v>
      </c>
      <c r="B8" s="5" t="s">
        <v>319</v>
      </c>
      <c r="C8" s="5" t="s">
        <v>320</v>
      </c>
      <c r="D8" s="5">
        <v>2</v>
      </c>
      <c r="E8" s="6" t="s">
        <v>321</v>
      </c>
      <c r="F8" s="5">
        <f>SUMIFS('2. Backlog'!$F$2:$F$64,'2. Backlog'!$G$2:$G$64,"BE",'2. Backlog'!$H$2:$H$64,4)</f>
        <v>15</v>
      </c>
      <c r="G8" s="5">
        <v>15</v>
      </c>
      <c r="H8" s="5">
        <f>SUMIFS('2. Backlog'!$F$2:$F$64,'2. Backlog'!$G$2:$G$64,"FE",'2. Backlog'!$H$2:$H$64,4)</f>
        <v>10</v>
      </c>
      <c r="I8" s="5">
        <v>10</v>
      </c>
      <c r="J8" s="5">
        <f>F8+H8</f>
        <v>25</v>
      </c>
      <c r="K8" s="5">
        <f>G8+I8</f>
        <v>25</v>
      </c>
      <c r="L8" s="14">
        <f>J8/K8</f>
        <v>1</v>
      </c>
    </row>
    <row r="9" ht="26.4" spans="1:12">
      <c r="A9" s="5" t="s">
        <v>322</v>
      </c>
      <c r="B9" s="5" t="s">
        <v>323</v>
      </c>
      <c r="C9" s="5" t="s">
        <v>324</v>
      </c>
      <c r="D9" s="5">
        <v>2</v>
      </c>
      <c r="E9" s="6" t="s">
        <v>325</v>
      </c>
      <c r="F9" s="5">
        <f>SUMIFS('2. Backlog'!$F$2:$F$64,'2. Backlog'!$G$2:$G$64,"BE",'2. Backlog'!$H$2:$H$64,5)</f>
        <v>13</v>
      </c>
      <c r="G9" s="5">
        <v>15</v>
      </c>
      <c r="H9" s="5">
        <f>SUMIFS('2. Backlog'!$F$2:$F$64,'2. Backlog'!$G$2:$G$64,"FE",'2. Backlog'!$H$2:$H$64,5)</f>
        <v>9</v>
      </c>
      <c r="I9" s="5">
        <v>10</v>
      </c>
      <c r="J9" s="5">
        <f>F9+H9</f>
        <v>22</v>
      </c>
      <c r="K9" s="5">
        <f>G9+I9</f>
        <v>25</v>
      </c>
      <c r="L9" s="14">
        <f>J9/K9</f>
        <v>0.88</v>
      </c>
    </row>
    <row r="10" spans="1:12">
      <c r="A10" s="4"/>
      <c r="B10" s="4"/>
      <c r="C10" s="4"/>
      <c r="D10" s="4"/>
      <c r="E10" s="4" t="s">
        <v>294</v>
      </c>
      <c r="F10" s="5">
        <f t="shared" ref="F10:K10" si="0">SUM(F5:F9)</f>
        <v>72</v>
      </c>
      <c r="G10" s="5">
        <f t="shared" si="0"/>
        <v>75</v>
      </c>
      <c r="H10" s="5">
        <f t="shared" si="0"/>
        <v>51</v>
      </c>
      <c r="I10" s="5">
        <f t="shared" si="0"/>
        <v>50</v>
      </c>
      <c r="J10" s="5">
        <f t="shared" si="0"/>
        <v>123</v>
      </c>
      <c r="K10" s="5">
        <f t="shared" si="0"/>
        <v>125</v>
      </c>
      <c r="L10" s="14">
        <f>J10/K10</f>
        <v>0.984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showGridLines="0" workbookViewId="0">
      <pane ySplit="3" topLeftCell="A4" activePane="bottomLeft" state="frozen"/>
      <selection/>
      <selection pane="bottomLeft" activeCell="C3" sqref="C3"/>
    </sheetView>
  </sheetViews>
  <sheetFormatPr defaultColWidth="8.67592592592593" defaultRowHeight="14.4" outlineLevelRow="7" outlineLevelCol="3"/>
  <cols>
    <col min="1" max="1" width="7" customWidth="1"/>
    <col min="2" max="2" width="34" customWidth="1"/>
    <col min="3" max="3" width="12" customWidth="1"/>
    <col min="4" max="4" width="80" customWidth="1"/>
  </cols>
  <sheetData>
    <row r="1" ht="21.75" customHeight="1" spans="1:4">
      <c r="A1" s="1" t="s">
        <v>326</v>
      </c>
      <c r="B1" s="1"/>
      <c r="C1" s="1"/>
      <c r="D1" s="1"/>
    </row>
    <row r="3" ht="30" customHeight="1" spans="1:4">
      <c r="A3" s="3" t="s">
        <v>327</v>
      </c>
      <c r="B3" s="3" t="s">
        <v>328</v>
      </c>
      <c r="C3" s="3" t="s">
        <v>329</v>
      </c>
      <c r="D3" s="3" t="s">
        <v>330</v>
      </c>
    </row>
    <row r="4" ht="26.4" spans="1:4">
      <c r="A4" s="5" t="s">
        <v>331</v>
      </c>
      <c r="B4" s="6" t="s">
        <v>332</v>
      </c>
      <c r="C4" s="12">
        <v>46275</v>
      </c>
      <c r="D4" s="6" t="s">
        <v>333</v>
      </c>
    </row>
    <row r="5" spans="1:4">
      <c r="A5" s="5" t="s">
        <v>334</v>
      </c>
      <c r="B5" s="6" t="s">
        <v>335</v>
      </c>
      <c r="C5" s="5" t="s">
        <v>312</v>
      </c>
      <c r="D5" s="6" t="s">
        <v>336</v>
      </c>
    </row>
    <row r="6" ht="26.4" spans="1:4">
      <c r="A6" s="5" t="s">
        <v>337</v>
      </c>
      <c r="B6" s="6" t="s">
        <v>338</v>
      </c>
      <c r="C6" s="5" t="s">
        <v>316</v>
      </c>
      <c r="D6" s="6" t="s">
        <v>339</v>
      </c>
    </row>
    <row r="7" ht="26.4" spans="1:4">
      <c r="A7" s="5" t="s">
        <v>340</v>
      </c>
      <c r="B7" s="6" t="s">
        <v>341</v>
      </c>
      <c r="C7" s="5" t="s">
        <v>320</v>
      </c>
      <c r="D7" s="6" t="s">
        <v>342</v>
      </c>
    </row>
    <row r="8" ht="26.4" spans="1:4">
      <c r="A8" s="5" t="s">
        <v>343</v>
      </c>
      <c r="B8" s="6" t="s">
        <v>344</v>
      </c>
      <c r="C8" s="5" t="s">
        <v>324</v>
      </c>
      <c r="D8" s="6" t="s">
        <v>345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showGridLines="0" workbookViewId="0">
      <pane ySplit="4" topLeftCell="A6" activePane="bottomLeft" state="frozen"/>
      <selection/>
      <selection pane="bottomLeft" activeCell="C15" sqref="C15"/>
    </sheetView>
  </sheetViews>
  <sheetFormatPr defaultColWidth="8.67592592592593" defaultRowHeight="14.4" outlineLevelCol="4"/>
  <cols>
    <col min="1" max="1" width="7" customWidth="1"/>
    <col min="2" max="2" width="36" customWidth="1"/>
    <col min="3" max="3" width="70" customWidth="1"/>
    <col min="4" max="4" width="12" customWidth="1"/>
  </cols>
  <sheetData>
    <row r="1" ht="21.75" customHeight="1" spans="1:5">
      <c r="A1" s="1" t="s">
        <v>346</v>
      </c>
      <c r="B1" s="1"/>
      <c r="C1" s="1"/>
      <c r="D1" s="1"/>
      <c r="E1" s="1"/>
    </row>
    <row r="2" ht="27.75" customHeight="1" spans="1:5">
      <c r="A2" s="11" t="s">
        <v>347</v>
      </c>
      <c r="B2" s="11"/>
      <c r="C2" s="11"/>
      <c r="D2" s="11"/>
      <c r="E2" s="11"/>
    </row>
    <row r="4" ht="30" customHeight="1" spans="1:5">
      <c r="A4" s="3" t="s">
        <v>348</v>
      </c>
      <c r="B4" s="3" t="s">
        <v>349</v>
      </c>
      <c r="C4" s="3" t="s">
        <v>350</v>
      </c>
      <c r="D4" s="3" t="s">
        <v>351</v>
      </c>
    </row>
    <row r="5" ht="26.4" spans="1:5">
      <c r="A5" s="5" t="s">
        <v>352</v>
      </c>
      <c r="B5" s="6" t="s">
        <v>353</v>
      </c>
      <c r="C5" s="6" t="s">
        <v>354</v>
      </c>
      <c r="D5" s="5" t="s">
        <v>355</v>
      </c>
    </row>
    <row r="6" ht="26.4" spans="1:5">
      <c r="A6" s="5" t="s">
        <v>356</v>
      </c>
      <c r="B6" s="6" t="s">
        <v>357</v>
      </c>
      <c r="C6" s="6" t="s">
        <v>358</v>
      </c>
      <c r="D6" s="5" t="s">
        <v>355</v>
      </c>
    </row>
    <row r="7" spans="1:5">
      <c r="A7" s="5" t="s">
        <v>359</v>
      </c>
      <c r="B7" s="6" t="s">
        <v>360</v>
      </c>
      <c r="C7" s="6" t="s">
        <v>361</v>
      </c>
      <c r="D7" s="5" t="s">
        <v>355</v>
      </c>
    </row>
    <row r="8" spans="1:5">
      <c r="A8" s="5" t="s">
        <v>362</v>
      </c>
      <c r="B8" s="6" t="s">
        <v>363</v>
      </c>
      <c r="C8" s="6" t="s">
        <v>361</v>
      </c>
      <c r="D8" s="5" t="s">
        <v>355</v>
      </c>
    </row>
    <row r="9" ht="26.4" spans="1:5">
      <c r="A9" s="5" t="s">
        <v>364</v>
      </c>
      <c r="B9" s="6" t="s">
        <v>365</v>
      </c>
      <c r="C9" s="6" t="s">
        <v>366</v>
      </c>
      <c r="D9" s="5" t="s">
        <v>355</v>
      </c>
    </row>
    <row r="10" spans="1:5">
      <c r="A10" s="5" t="s">
        <v>367</v>
      </c>
      <c r="B10" s="6" t="s">
        <v>368</v>
      </c>
      <c r="C10" s="6" t="s">
        <v>369</v>
      </c>
      <c r="D10" s="5" t="s">
        <v>355</v>
      </c>
    </row>
    <row r="11" ht="26.4" spans="1:5">
      <c r="A11" s="5" t="s">
        <v>370</v>
      </c>
      <c r="B11" s="6" t="s">
        <v>371</v>
      </c>
      <c r="C11" s="6" t="s">
        <v>372</v>
      </c>
      <c r="D11" s="5" t="s">
        <v>355</v>
      </c>
    </row>
    <row r="12" ht="26.4" spans="1:5">
      <c r="A12" s="5" t="s">
        <v>373</v>
      </c>
      <c r="B12" s="6" t="s">
        <v>374</v>
      </c>
      <c r="C12" s="6" t="s">
        <v>375</v>
      </c>
      <c r="D12" s="5" t="s">
        <v>355</v>
      </c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pane ySplit="4" topLeftCell="A5" activePane="bottomLeft" state="frozen"/>
      <selection/>
      <selection pane="bottomLeft" activeCell="C15" sqref="C15"/>
    </sheetView>
  </sheetViews>
  <sheetFormatPr defaultColWidth="8.67592592592593" defaultRowHeight="14.4" outlineLevelCol="7"/>
  <cols>
    <col min="1" max="1" width="7" customWidth="1"/>
    <col min="2" max="2" width="46" customWidth="1"/>
    <col min="3" max="5" width="11" customWidth="1"/>
    <col min="6" max="6" width="8" customWidth="1"/>
    <col min="7" max="7" width="52" customWidth="1"/>
    <col min="8" max="8" width="14" customWidth="1"/>
  </cols>
  <sheetData>
    <row r="1" ht="21.75" customHeight="1" spans="1:8">
      <c r="A1" s="1" t="s">
        <v>376</v>
      </c>
      <c r="B1" s="1"/>
      <c r="C1" s="1"/>
      <c r="D1" s="1"/>
      <c r="E1" s="1"/>
      <c r="F1" s="1"/>
      <c r="G1" s="1"/>
      <c r="H1" s="1"/>
    </row>
    <row r="2" ht="15.75" customHeight="1" spans="1:8">
      <c r="A2" s="8" t="s">
        <v>377</v>
      </c>
      <c r="B2" s="8"/>
      <c r="C2" s="8"/>
      <c r="D2" s="8"/>
      <c r="E2" s="8"/>
      <c r="F2" s="8"/>
      <c r="G2" s="8"/>
      <c r="H2" s="8"/>
    </row>
    <row r="4" ht="30" customHeight="1" spans="1:8">
      <c r="A4" s="3" t="s">
        <v>348</v>
      </c>
      <c r="B4" s="3" t="s">
        <v>378</v>
      </c>
      <c r="C4" s="3" t="s">
        <v>379</v>
      </c>
      <c r="D4" s="3" t="s">
        <v>380</v>
      </c>
      <c r="E4" s="3" t="s">
        <v>381</v>
      </c>
      <c r="F4" s="3" t="s">
        <v>382</v>
      </c>
      <c r="G4" s="3" t="s">
        <v>383</v>
      </c>
      <c r="H4" s="3" t="s">
        <v>384</v>
      </c>
    </row>
    <row r="5" ht="26.4" spans="1:8">
      <c r="A5" s="5" t="s">
        <v>385</v>
      </c>
      <c r="B5" s="6" t="s">
        <v>386</v>
      </c>
      <c r="C5" s="5" t="s">
        <v>387</v>
      </c>
      <c r="D5" s="5" t="s">
        <v>388</v>
      </c>
      <c r="E5" s="5" t="s">
        <v>388</v>
      </c>
      <c r="F5" s="9">
        <v>20</v>
      </c>
      <c r="G5" s="6" t="s">
        <v>389</v>
      </c>
      <c r="H5" s="5" t="s">
        <v>203</v>
      </c>
    </row>
    <row r="6" ht="26.4" spans="1:8">
      <c r="A6" s="5" t="s">
        <v>390</v>
      </c>
      <c r="B6" s="6" t="s">
        <v>391</v>
      </c>
      <c r="C6" s="5" t="s">
        <v>392</v>
      </c>
      <c r="D6" s="5" t="s">
        <v>388</v>
      </c>
      <c r="E6" s="5" t="s">
        <v>388</v>
      </c>
      <c r="F6" s="9">
        <v>20</v>
      </c>
      <c r="G6" s="6" t="s">
        <v>393</v>
      </c>
      <c r="H6" s="5" t="s">
        <v>284</v>
      </c>
    </row>
    <row r="7" ht="26.4" spans="1:8">
      <c r="A7" s="5" t="s">
        <v>394</v>
      </c>
      <c r="B7" s="6" t="s">
        <v>395</v>
      </c>
      <c r="C7" s="5" t="s">
        <v>387</v>
      </c>
      <c r="D7" s="5" t="s">
        <v>396</v>
      </c>
      <c r="E7" s="5" t="s">
        <v>388</v>
      </c>
      <c r="F7" s="9">
        <v>15</v>
      </c>
      <c r="G7" s="6" t="s">
        <v>397</v>
      </c>
      <c r="H7" s="5" t="s">
        <v>156</v>
      </c>
    </row>
    <row r="8" ht="26.4" spans="1:8">
      <c r="A8" s="5" t="s">
        <v>398</v>
      </c>
      <c r="B8" s="6" t="s">
        <v>399</v>
      </c>
      <c r="C8" s="5" t="s">
        <v>392</v>
      </c>
      <c r="D8" s="5" t="s">
        <v>396</v>
      </c>
      <c r="E8" s="5" t="s">
        <v>396</v>
      </c>
      <c r="F8" s="10">
        <v>9</v>
      </c>
      <c r="G8" s="6" t="s">
        <v>400</v>
      </c>
      <c r="H8" s="5" t="s">
        <v>203</v>
      </c>
    </row>
    <row r="9" ht="26.4" spans="1:8">
      <c r="A9" s="5" t="s">
        <v>401</v>
      </c>
      <c r="B9" s="6" t="s">
        <v>402</v>
      </c>
      <c r="C9" s="5" t="s">
        <v>387</v>
      </c>
      <c r="D9" s="5" t="s">
        <v>396</v>
      </c>
      <c r="E9" s="5" t="s">
        <v>396</v>
      </c>
      <c r="F9" s="10">
        <v>9</v>
      </c>
      <c r="G9" s="6" t="s">
        <v>403</v>
      </c>
      <c r="H9" s="5" t="s">
        <v>203</v>
      </c>
    </row>
    <row r="10" ht="26.4" spans="1:8">
      <c r="A10" s="5" t="s">
        <v>404</v>
      </c>
      <c r="B10" s="6" t="s">
        <v>405</v>
      </c>
      <c r="C10" s="5" t="s">
        <v>392</v>
      </c>
      <c r="D10" s="5" t="s">
        <v>388</v>
      </c>
      <c r="E10" s="5" t="s">
        <v>396</v>
      </c>
      <c r="F10" s="10">
        <v>12</v>
      </c>
      <c r="G10" s="6" t="s">
        <v>406</v>
      </c>
      <c r="H10" s="5" t="s">
        <v>407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showGridLines="0" workbookViewId="0">
      <selection activeCell="A15" sqref="A15:E15"/>
    </sheetView>
  </sheetViews>
  <sheetFormatPr defaultColWidth="8.67592592592593" defaultRowHeight="14.4" outlineLevelCol="4"/>
  <cols>
    <col min="1" max="1" width="26" customWidth="1"/>
    <col min="2" max="2" width="20" customWidth="1"/>
    <col min="3" max="3" width="11" customWidth="1"/>
    <col min="4" max="4" width="20" customWidth="1"/>
    <col min="5" max="5" width="52" customWidth="1"/>
  </cols>
  <sheetData>
    <row r="1" ht="21.75" customHeight="1" spans="1:5">
      <c r="A1" s="1" t="s">
        <v>408</v>
      </c>
      <c r="B1" s="1"/>
      <c r="C1" s="1"/>
      <c r="D1" s="1"/>
      <c r="E1" s="1"/>
    </row>
    <row r="3" spans="1:5">
      <c r="A3" s="2" t="s">
        <v>409</v>
      </c>
    </row>
    <row r="4" ht="27.75" customHeight="1" spans="1:5">
      <c r="A4" s="3" t="s">
        <v>410</v>
      </c>
      <c r="B4" s="3" t="s">
        <v>411</v>
      </c>
      <c r="C4" s="3" t="s">
        <v>38</v>
      </c>
      <c r="D4" s="3" t="s">
        <v>412</v>
      </c>
    </row>
    <row r="5" ht="79.2" spans="1:5">
      <c r="A5" s="4" t="s">
        <v>108</v>
      </c>
      <c r="B5" s="4" t="s">
        <v>413</v>
      </c>
      <c r="C5" s="5" t="s">
        <v>54</v>
      </c>
      <c r="D5" s="6" t="s">
        <v>414</v>
      </c>
    </row>
    <row r="6" ht="66" spans="1:5">
      <c r="A6" s="4" t="s">
        <v>56</v>
      </c>
      <c r="B6" s="4" t="s">
        <v>415</v>
      </c>
      <c r="C6" s="5" t="s">
        <v>54</v>
      </c>
      <c r="D6" s="6" t="s">
        <v>416</v>
      </c>
    </row>
    <row r="7" ht="66" spans="1:5">
      <c r="A7" s="4" t="s">
        <v>85</v>
      </c>
      <c r="B7" s="4" t="s">
        <v>415</v>
      </c>
      <c r="C7" s="5" t="s">
        <v>54</v>
      </c>
      <c r="D7" s="6" t="s">
        <v>417</v>
      </c>
    </row>
    <row r="8" ht="39.6" spans="1:5">
      <c r="A8" s="4" t="s">
        <v>418</v>
      </c>
      <c r="B8" s="4" t="s">
        <v>419</v>
      </c>
      <c r="C8" s="5" t="s">
        <v>77</v>
      </c>
      <c r="D8" s="6" t="s">
        <v>420</v>
      </c>
    </row>
    <row r="9" ht="66" spans="1:5">
      <c r="A9" s="4" t="s">
        <v>421</v>
      </c>
      <c r="B9" s="4" t="s">
        <v>419</v>
      </c>
      <c r="C9" s="5" t="s">
        <v>77</v>
      </c>
      <c r="D9" s="6" t="s">
        <v>422</v>
      </c>
    </row>
    <row r="12" spans="1:5">
      <c r="A12" s="2" t="s">
        <v>423</v>
      </c>
    </row>
    <row r="13" spans="1:5">
      <c r="A13" s="7" t="s">
        <v>424</v>
      </c>
      <c r="B13" s="7"/>
      <c r="C13" s="7"/>
      <c r="D13" s="7"/>
      <c r="E13" s="7"/>
    </row>
    <row r="14" spans="1:5">
      <c r="A14" s="7" t="s">
        <v>425</v>
      </c>
      <c r="B14" s="7"/>
      <c r="C14" s="7"/>
      <c r="D14" s="7"/>
      <c r="E14" s="7"/>
    </row>
    <row r="15" spans="1:5">
      <c r="A15" s="7" t="s">
        <v>426</v>
      </c>
      <c r="B15" s="7"/>
      <c r="C15" s="7"/>
      <c r="D15" s="7"/>
      <c r="E15" s="7"/>
    </row>
    <row r="16" spans="1:5">
      <c r="A16" s="7" t="s">
        <v>427</v>
      </c>
      <c r="B16" s="7"/>
      <c r="C16" s="7"/>
      <c r="D16" s="7"/>
      <c r="E16" s="7"/>
    </row>
    <row r="17" spans="1:5">
      <c r="A17" s="7" t="s">
        <v>428</v>
      </c>
      <c r="B17" s="7"/>
      <c r="C17" s="7"/>
      <c r="D17" s="7"/>
      <c r="E17" s="7"/>
    </row>
    <row r="19" spans="1:5">
      <c r="A19" s="2" t="s">
        <v>429</v>
      </c>
    </row>
    <row r="20" spans="1:5">
      <c r="A20" s="7" t="s">
        <v>430</v>
      </c>
      <c r="B20" s="7"/>
      <c r="C20" s="7"/>
      <c r="D20" s="7"/>
      <c r="E20" s="7"/>
    </row>
    <row r="21" spans="1:5">
      <c r="A21" s="7" t="s">
        <v>431</v>
      </c>
      <c r="B21" s="7"/>
      <c r="C21" s="7"/>
      <c r="D21" s="7"/>
      <c r="E21" s="7"/>
    </row>
    <row r="22" spans="1:5">
      <c r="A22" s="7" t="s">
        <v>432</v>
      </c>
      <c r="B22" s="7"/>
      <c r="C22" s="7"/>
      <c r="D22" s="7"/>
      <c r="E22" s="7"/>
    </row>
    <row r="23" spans="1:5">
      <c r="A23" s="7" t="s">
        <v>433</v>
      </c>
      <c r="B23" s="7"/>
      <c r="C23" s="7"/>
      <c r="D23" s="7"/>
      <c r="E23" s="7"/>
    </row>
    <row r="24" spans="1:5">
      <c r="A24" s="7" t="s">
        <v>434</v>
      </c>
      <c r="B24" s="7"/>
      <c r="C24" s="7"/>
      <c r="D24" s="7"/>
      <c r="E24" s="7"/>
    </row>
    <row r="26" spans="1:5">
      <c r="A26" s="2" t="s">
        <v>435</v>
      </c>
    </row>
    <row r="27" ht="25.5" customHeight="1" spans="1:5">
      <c r="A27" s="3" t="s">
        <v>436</v>
      </c>
      <c r="B27" s="3" t="s">
        <v>437</v>
      </c>
      <c r="C27" s="3" t="s">
        <v>438</v>
      </c>
      <c r="D27" s="3" t="s">
        <v>439</v>
      </c>
      <c r="E27" s="3" t="s">
        <v>440</v>
      </c>
    </row>
    <row r="28" ht="26.4" spans="1:5">
      <c r="A28" s="4" t="s">
        <v>441</v>
      </c>
      <c r="B28" s="5" t="s">
        <v>442</v>
      </c>
      <c r="C28" s="5" t="s">
        <v>443</v>
      </c>
      <c r="D28" s="5" t="s">
        <v>407</v>
      </c>
      <c r="E28" s="6" t="s">
        <v>444</v>
      </c>
    </row>
    <row r="29" spans="1:5">
      <c r="A29" s="4" t="s">
        <v>445</v>
      </c>
      <c r="B29" s="5" t="s">
        <v>446</v>
      </c>
      <c r="C29" s="5" t="s">
        <v>447</v>
      </c>
      <c r="D29" s="5" t="s">
        <v>407</v>
      </c>
      <c r="E29" s="6" t="s">
        <v>448</v>
      </c>
    </row>
    <row r="30" spans="1:5">
      <c r="A30" s="4" t="s">
        <v>449</v>
      </c>
      <c r="B30" s="5" t="s">
        <v>450</v>
      </c>
      <c r="C30" s="5" t="s">
        <v>451</v>
      </c>
      <c r="D30" s="5" t="s">
        <v>452</v>
      </c>
      <c r="E30" s="6" t="s">
        <v>453</v>
      </c>
    </row>
    <row r="31" spans="1:5">
      <c r="A31" s="4" t="s">
        <v>454</v>
      </c>
      <c r="B31" s="5" t="s">
        <v>455</v>
      </c>
      <c r="C31" s="5" t="s">
        <v>456</v>
      </c>
      <c r="D31" s="5" t="s">
        <v>407</v>
      </c>
      <c r="E31" s="6" t="s">
        <v>457</v>
      </c>
    </row>
    <row r="32" spans="1:5">
      <c r="A32" s="4" t="s">
        <v>458</v>
      </c>
      <c r="B32" s="5" t="s">
        <v>455</v>
      </c>
      <c r="C32" s="5" t="s">
        <v>459</v>
      </c>
      <c r="D32" s="5" t="s">
        <v>407</v>
      </c>
      <c r="E32" s="6" t="s">
        <v>460</v>
      </c>
    </row>
  </sheetData>
  <mergeCells count="11">
    <mergeCell ref="A1:E1"/>
    <mergeCell ref="A13:E13"/>
    <mergeCell ref="A14:E14"/>
    <mergeCell ref="A15:E15"/>
    <mergeCell ref="A16:E16"/>
    <mergeCell ref="A17:E17"/>
    <mergeCell ref="A20:E20"/>
    <mergeCell ref="A21:E21"/>
    <mergeCell ref="A22:E22"/>
    <mergeCell ref="A23:E23"/>
    <mergeCell ref="A24:E24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 Overview</vt:lpstr>
      <vt:lpstr>2. Backlog</vt:lpstr>
      <vt:lpstr>3. Epic Summary</vt:lpstr>
      <vt:lpstr>4. Sprint Plan</vt:lpstr>
      <vt:lpstr>5. Milestones</vt:lpstr>
      <vt:lpstr>6. Deferred</vt:lpstr>
      <vt:lpstr>7. Risks</vt:lpstr>
      <vt:lpstr>8. Team &amp; 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revision>0</cp:revision>
  <dcterms:created xsi:type="dcterms:W3CDTF">2026-09-27T04:25:00Z</dcterms:created>
  <dcterms:modified xsi:type="dcterms:W3CDTF">2026-10-15T09:41:29Z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A633166CA10340908920579F9504364D_12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